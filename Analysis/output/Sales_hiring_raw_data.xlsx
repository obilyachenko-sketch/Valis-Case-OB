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imeline (raw)" sheetId="2" state="visible" r:id="rId4"/>
    <sheet name="Other open roles" sheetId="3" state="visible" r:id="rId5"/>
    <sheet name="Roster reqs (raw)" sheetId="4" state="visible" r:id="rId6"/>
    <sheet name="Conflicts" sheetId="5" state="visible" r:id="rId7"/>
    <sheet name="Open a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8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16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17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18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19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20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21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22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G8" authorId="0">
      <text>
        <r>
          <rPr>
            <sz val="10"/>
            <rFont val="Arial"/>
            <family val="2"/>
          </rPr>
          <t xml:space="preserve">REQ-114 shows APPROVED with a 2026-07-15 start. Superseded by the 2026-06-10 freeze: Elena calls the roster 'now stale' (slack L230) and the minutes say 'superseded by this decision' (leadership_sync L16). Conflict C1.</t>
        </r>
      </text>
    </comment>
    <comment ref="G9" authorId="0">
      <text>
        <r>
          <rPr>
            <sz val="10"/>
            <rFont val="Arial"/>
            <family val="2"/>
          </rPr>
          <t xml:space="preserve">Elena confirms the May 1 snapshot lists REQ-114 as approved. Superseded on Jun 10–11 (C1).</t>
        </r>
      </text>
    </comment>
    <comment ref="G11" authorId="0">
      <text>
        <r>
          <rPr>
            <sz val="10"/>
            <rFont val="Arial"/>
            <family val="2"/>
          </rPr>
          <t xml:space="preserve">THE DECISION. CEO freezes all new Sales headcount, REQ-114 included; Priya holds the line on reqs. Dated Wed Jun 10. The minutes record the same decision dated Jun 11 (C2).</t>
        </r>
      </text>
    </comment>
    <comment ref="G15" authorId="0">
      <text>
        <r>
          <rPr>
            <sz val="10"/>
            <rFont val="Arial"/>
            <family val="2"/>
          </rPr>
          <t xml:space="preserve">Ownership stated explicitly: 'I'm making the call, Priya enforces it'. Freeze is Sales-only.</t>
        </r>
      </text>
    </comment>
    <comment ref="G17" authorId="0">
      <text>
        <r>
          <rPr>
            <sz val="10"/>
            <rFont val="Arial"/>
            <family val="2"/>
          </rPr>
          <t xml:space="preserve">Formal minute of the decision; states the 05-01 roster is superseded. File and header date it 2026-06-11, but Slack has it Jun 10 and Elena on Jun 11 says 'yesterday's leadership call' (C2).</t>
        </r>
      </text>
    </comment>
    <comment ref="G18" authorId="0">
      <text>
        <r>
          <rPr>
            <sz val="10"/>
            <rFont val="Arial"/>
            <family val="2"/>
          </rPr>
          <t xml:space="preserve">Scope: net-new Sales reqs only; backfills reviewed case by case by Priya + Tomás. Slack says 'all new Sales headcount' and doesn't mention backfills (C4).</t>
        </r>
      </text>
    </comment>
    <comment ref="G19" authorId="0">
      <text>
        <r>
          <rPr>
            <sz val="10"/>
            <rFont val="Arial"/>
            <family val="2"/>
          </rPr>
          <t xml:space="preserve">Owner: Dana (CEO). Enforcer: Priya (CFO). Matches slack L67, L79.</t>
        </r>
      </text>
    </comment>
    <comment ref="G21" authorId="0">
      <text>
        <r>
          <rPr>
            <sz val="10"/>
            <rFont val="Arial"/>
            <family val="2"/>
          </rPr>
          <t xml:space="preserve">Late-stage REQ-114 candidate: pause, or finish the loop without an offer? Priya + Tomás to align. Outcome not in the bundle.</t>
        </r>
      </text>
    </comment>
    <comment ref="G22" authorId="0">
      <text>
        <r>
          <rPr>
            <sz val="10"/>
            <rFont val="Arial"/>
            <family val="2"/>
          </rPr>
          <t xml:space="preserve">Recruiting to pause the req in Greenhouse; Marcus to notify Elena. Completion not in the bundle.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Raj: Eng has 'a couple open but no urgency' (slack L217), but the roster lists only one Eng req.</t>
        </r>
      </text>
    </comment>
    <comment ref="A4" authorId="0">
      <text>
        <r>
          <rPr>
            <sz val="10"/>
            <rFont val="Arial"/>
            <family val="2"/>
          </rPr>
          <t xml:space="preserve">In the roster but missing from Elena's May 1 'official picture' (slack L222).</t>
        </r>
      </text>
    </comment>
    <comment ref="A5" authorId="0">
      <text>
        <r>
          <rPr>
            <sz val="10"/>
            <rFont val="Arial"/>
            <family val="2"/>
          </rPr>
          <t xml:space="preserve">No target start date (roster L25), so urgency can't be judged. Also missing from Elena's May 1 list (slack L222).</t>
        </r>
      </text>
    </comment>
    <comment ref="A6" authorId="0">
      <text>
        <r>
          <rPr>
            <sz val="10"/>
            <rFont val="Arial"/>
            <family val="2"/>
          </rPr>
          <t xml:space="preserve">Not in the roster at all. Sofia: 'one backfill open' (L214); confirmed unaffected by the freeze and proceeding (L236, L239).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REQ-114 APPROVED as of 2026-05-01. Frozen/paused since 2026-06-10: slack L67 (Dana), L70 (Priya), L230 (Elena: 'May 1 roster is now stale'), leadership_sync L16 ('superseded by this decision').</t>
        </r>
      </text>
    </comment>
  </commentList>
</comments>
</file>

<file path=xl/sharedStrings.xml><?xml version="1.0" encoding="utf-8"?>
<sst xmlns="http://schemas.openxmlformats.org/spreadsheetml/2006/main" count="399" uniqueCount="264">
  <si>
    <t xml:space="preserve">Q2 — Sales hiring: hire or freeze? Current state and owner</t>
  </si>
  <si>
    <t xml:space="preserve">Counts and dates are live formulas on the 'Timeline (raw)' tab. Text answers cite the source rows.</t>
  </si>
  <si>
    <t xml:space="preserve">Current state</t>
  </si>
  <si>
    <t xml:space="preserve">FROZEN</t>
  </si>
  <si>
    <t xml:space="preserve">slack L67, L79; leadership_sync L16. REQ-114 paused, not cancelled (slack L70).</t>
  </si>
  <si>
    <t xml:space="preserve">Decision owner</t>
  </si>
  <si>
    <t xml:space="preserve">Dana Whitfield (CEO)</t>
  </si>
  <si>
    <t xml:space="preserve">'I'm making the call' (slack L79); 'Decision made by Dana' (leadership_sync L18).</t>
  </si>
  <si>
    <t xml:space="preserve">Enforcer on reqs</t>
  </si>
  <si>
    <t xml:space="preserve">Priya Raman (CFO)</t>
  </si>
  <si>
    <t xml:space="preserve">'Priya holds the line on reqs' (slack L67); 'Priya enforces' (L79, leadership_sync L18).</t>
  </si>
  <si>
    <t xml:space="preserve">Decision date (first decision statement)</t>
  </si>
  <si>
    <t xml:space="preserve">Earliest FREEZE row marked Decision = Yes. Minutes are dated a day later (Conflict C2).</t>
  </si>
  <si>
    <t xml:space="preserve">Statements found (all stances)</t>
  </si>
  <si>
    <t xml:space="preserve">Every Sales-hiring line in Slack, minutes and roster.</t>
  </si>
  <si>
    <t xml:space="preserve">FREEZE statements on/after decision</t>
  </si>
  <si>
    <t xml:space="preserve">Dana, Priya, Marcus, Tomás, Elena + minutes.</t>
  </si>
  <si>
    <t xml:space="preserve">HIRE statements after decision (reversals)</t>
  </si>
  <si>
    <t xml:space="preserve">0 = nothing in the bundle reverses the freeze.</t>
  </si>
  <si>
    <t xml:space="preserve">Reversed since?</t>
  </si>
  <si>
    <t xml:space="preserve">Latest Sales-hiring statement</t>
  </si>
  <si>
    <t xml:space="preserve">Bundle export range ends 2026-06-17 (slack L4).</t>
  </si>
  <si>
    <t xml:space="preserve">Revisit</t>
  </si>
  <si>
    <t xml:space="preserve">July leadership sync</t>
  </si>
  <si>
    <t xml:space="preserve">Trigger: pipeline coverage on target + 2 months recovered conversion (leadership_sync L19). Other wording in C3.</t>
  </si>
  <si>
    <t xml:space="preserve">Confidence — state &amp; owner</t>
  </si>
  <si>
    <t xml:space="preserve">High</t>
  </si>
  <si>
    <t xml:space="preserve">4 independent sources agree (Dana, Priya, Elena, minutes); no later reversal.</t>
  </si>
  <si>
    <t xml:space="preserve">Other teams' open roles</t>
  </si>
  <si>
    <t xml:space="preserve">Unaffected — see 'Other open roles'</t>
  </si>
  <si>
    <t xml:space="preserve">4 open non-Sales roles (roster and People's list disagree — Conflict C5); 2 more proposed for Q3.</t>
  </si>
  <si>
    <t xml:space="preserve">Confidence — follow-through</t>
  </si>
  <si>
    <t xml:space="preserve">Medium</t>
  </si>
  <si>
    <t xml:space="preserve">Candidate handling and Greenhouse pause not evidenced — see 'Open actions'.</t>
  </si>
  <si>
    <t xml:space="preserve">Colour key on 'Timeline (raw)': green = decision · red = superseded / conflicts with the decision · amber = scope note or open item · grey = context.</t>
  </si>
  <si>
    <t xml:space="preserve">Scope: Sales headcount decisions, 2026-04-21 → 2026-06-17 (full bundle). Anything after the last message is unknown.</t>
  </si>
  <si>
    <t xml:space="preserve">Every Sales-hiring statement in the bundle, in date order. 'Raw text' is copied verbatim from the source line. Stance and commentary are my reading.</t>
  </si>
  <si>
    <t xml:space="preserve">#</t>
  </si>
  <si>
    <t xml:space="preserve">Date / time</t>
  </si>
  <si>
    <t xml:space="preserve">Source file</t>
  </si>
  <si>
    <t xml:space="preserve">Line</t>
  </si>
  <si>
    <t xml:space="preserve">Who</t>
  </si>
  <si>
    <t xml:space="preserve">Channel / doc</t>
  </si>
  <si>
    <t xml:space="preserve">Raw text (verbatim)</t>
  </si>
  <si>
    <t xml:space="preserve">Stance</t>
  </si>
  <si>
    <t xml:space="preserve">Decision?</t>
  </si>
  <si>
    <t xml:space="preserve">Flag</t>
  </si>
  <si>
    <t xml:space="preserve">Commentary &amp; references</t>
  </si>
  <si>
    <t xml:space="preserve">slack_export.md</t>
  </si>
  <si>
    <t xml:space="preserve">Tomás Reyes</t>
  </si>
  <si>
    <t xml:space="preserve">#leadership</t>
  </si>
  <si>
    <t xml:space="preserve">Won't argue the number. Two big renewals slipped into Q2 and one logo churned. I still think we under-invested in AE capacity going into the year. We've got REQ-114 approved and I want to get an AE seated by mid-July.</t>
  </si>
  <si>
    <t xml:space="preserve">HIRE</t>
  </si>
  <si>
    <t xml:space="preserve">Tomás pushes to seat an AE on REQ-114 by mid-July. Advocacy, not a decision.</t>
  </si>
  <si>
    <t xml:space="preserve">Marcus Lindqvist</t>
  </si>
  <si>
    <t xml:space="preserve">Let's see how Q2 pipeline looks before we add bodies. Capacity isn't the issue if conversion is the issue.</t>
  </si>
  <si>
    <t xml:space="preserve">DEFER</t>
  </si>
  <si>
    <t xml:space="preserve">Marcus (COO): wait for Q2 pipeline before adding headcount.</t>
  </si>
  <si>
    <t xml:space="preserve">Conversion is partly a coverage issue though. Same reps chasing too many accounts.</t>
  </si>
  <si>
    <t xml:space="preserve">Tomás: conversion is partly a coverage problem. Argument for hiring.</t>
  </si>
  <si>
    <t xml:space="preserve">Dana Whitfield</t>
  </si>
  <si>
    <t xml:space="preserve">Park it. Let's get through the board deck first, then we talk headcount with real numbers in front of us.</t>
  </si>
  <si>
    <t xml:space="preserve">Dana parks the headcount question until after the board deck. No decision yet.</t>
  </si>
  <si>
    <t xml:space="preserve">headcount_roster.csv</t>
  </si>
  <si>
    <t xml:space="preserve">Elena Novak (prepared by)</t>
  </si>
  <si>
    <t xml:space="preserve">Headcount roster</t>
  </si>
  <si>
    <t xml:space="preserve">Snapshot_Date,2026-05-01</t>
  </si>
  <si>
    <t xml:space="preserve">context</t>
  </si>
  <si>
    <t xml:space="preserve">Snapshot date for the roster. Everything in the roster reflects 2026-05-01.</t>
  </si>
  <si>
    <t xml:space="preserve">REQ-114,Sales,Account Executive,APPROVED,2026-07-15,Tomás Reyes</t>
  </si>
  <si>
    <t xml:space="preserve">SUPERSEDED</t>
  </si>
  <si>
    <t xml:space="preserve">REQ-114 shows APPROVED with a 2026-07-15 start. Superseded by the 2026-06-10 freeze: Elena calls the roster 'now stale' (slack L230) and the minutes say 'superseded by this decision' (leadership_sync L16). Conflict C1.</t>
  </si>
  <si>
    <t xml:space="preserve">Elena Novak</t>
  </si>
  <si>
    <t xml:space="preserve">#people</t>
  </si>
  <si>
    <t xml:space="preserve">Roster snapshot is locked as of today (2026-05-01). Open reqs captured: a Sales AE (REQ-114, approved, target start mid-July), plus a Creator Management backfill and an Eng role. That's the official picture for the board.</t>
  </si>
  <si>
    <t xml:space="preserve">Elena confirms the May 1 snapshot lists REQ-114 as approved. Superseded on Jun 10–11 (C1).</t>
  </si>
  <si>
    <t xml:space="preserve">Good. REQ-114 is the one I care about — need that AE seated by July 15.</t>
  </si>
  <si>
    <t xml:space="preserve">Tomás: needs the AE seated by July 15.</t>
  </si>
  <si>
    <t xml:space="preserve">OK, decision on Sales hiring. After the Q1 sales miss we're FREEZING all new Sales headcount until pipeline recovers. No new AE reqs move forward, REQ-114 included. Priya holds the line on reqs — nothing gets approved without her sign-off, and Sales is a no right now.</t>
  </si>
  <si>
    <t xml:space="preserve">FREEZE</t>
  </si>
  <si>
    <t xml:space="preserve">Yes</t>
  </si>
  <si>
    <t xml:space="preserve">DECISION</t>
  </si>
  <si>
    <t xml:space="preserve">THE DECISION. CEO freezes all new Sales headcount, REQ-114 included; Priya holds the line on reqs. Dated Wed Jun 10. The minutes record the same decision dated Jun 11 (C2).</t>
  </si>
  <si>
    <t xml:space="preserve">Priya Raman</t>
  </si>
  <si>
    <t xml:space="preserve">Understood, I'll hold them. Tomás, that means REQ-114 is paused, not killed — we revisit when Q2 pipeline shows recovery.</t>
  </si>
  <si>
    <t xml:space="preserve">Enforcer confirms: REQ-114 'paused, not killed'. Revisit 'when Q2 pipeline shows recovery' (C3).</t>
  </si>
  <si>
    <t xml:space="preserve">Noted, though I think we're going to feel this in Q3. Putting my objection on record. But I'll work with what I've got.</t>
  </si>
  <si>
    <t xml:space="preserve">Tomás objects on record but complies. Dissent, not a reversal.</t>
  </si>
  <si>
    <t xml:space="preserve">This is the right call for now. Revisit at the Q2 review.</t>
  </si>
  <si>
    <t xml:space="preserve">COO backs it; revisit 'at the Q2 review'. The minutes say July sync with a specific trigger (C3).</t>
  </si>
  <si>
    <t xml:space="preserve">Thanks all. To be clear so there's no ambiguity downstream: current state is frozen on Sales hiring, I'm making the call, Priya enforces it on the req side. Other teams' open reqs are unaffected for now.</t>
  </si>
  <si>
    <t xml:space="preserve">Ownership stated explicitly: 'I'm making the call, Priya enforces it'. Freeze is Sales-only.</t>
  </si>
  <si>
    <t xml:space="preserve">meeting_notes/leadership_sync_2026-06-11.md</t>
  </si>
  <si>
    <t xml:space="preserve">Minutes (Marcus)</t>
  </si>
  <si>
    <t xml:space="preserve">Leadership sync</t>
  </si>
  <si>
    <t xml:space="preserve">- Dana raised the open Sales req (the AE role, REQ-114, Tomás's team) that was approved back in early May. Question on the table: do we keep hiring into Sales or hold?</t>
  </si>
  <si>
    <t xml:space="preserve">Question put to the room: keep hiring into Sales or hold? Framing, not a stance.</t>
  </si>
  <si>
    <t xml:space="preserve">- **DECISION:** **Freeze all new Sales headcount until pipeline recovers.** Quote (Dana): *"After the Q1 sales miss we're freezing all new Sales headcount until pipeline recovers."* This includes **REQ-114 (AE) — now on hold**, not actively recruiting. The 2026-05-01 roster showing it APPROVED is superseded by this decision.</t>
  </si>
  <si>
    <t xml:space="preserve">Formal minute of the decision; states the 05-01 roster is superseded. File and header date it 2026-06-11, but Slack has it Jun 10 and Elena on Jun 11 says 'yesterday's leadership call' (C2).</t>
  </si>
  <si>
    <t xml:space="preserve">- Scope: net-new Sales reqs only. Backfills for regretted attrition to be reviewed case-by-case by Priya + Tomás, not auto-approved.</t>
  </si>
  <si>
    <t xml:space="preserve">SCOPE</t>
  </si>
  <si>
    <t xml:space="preserve">Scope: net-new Sales reqs only; backfills reviewed case by case by Priya + Tomás. Slack says 'all new Sales headcount' and doesn't mention backfills (C4).</t>
  </si>
  <si>
    <t xml:space="preserve">- **Owner:** Decision made by **Dana (CEO)**; **Priya (CFO) holds the line / enforces** — no new Sales req moves forward without her sign-off.</t>
  </si>
  <si>
    <t xml:space="preserve">Owner: Dana (CEO). Enforcer: Priya (CFO). Matches slack L67, L79.</t>
  </si>
  <si>
    <t xml:space="preserve">- Revisit trigger: pipeline coverage back to target + two consecutive months of recovered conversion. Re-evaluate at **July leadership sync**.</t>
  </si>
  <si>
    <t xml:space="preserve">Revisit trigger: pipeline coverage on target + 2 months recovered conversion; re-evaluate at July sync (C3).</t>
  </si>
  <si>
    <t xml:space="preserve">- Tomás flagged candidate already in late-stage interviews for REQ-114 — Priya to confirm whether to pause or let the loop finish without an offer. **Action: Priya + Tomás to align this week.**</t>
  </si>
  <si>
    <t xml:space="preserve">OPEN</t>
  </si>
  <si>
    <t xml:space="preserve">Late-stage REQ-114 candidate: pause, or finish the loop without an offer? Priya + Tomás to align. Outcome not in the bundle.</t>
  </si>
  <si>
    <t xml:space="preserve">- Elena (People) to be looped in so recruiting pauses the req in Greenhouse. **Action: Marcus to notify Elena.**</t>
  </si>
  <si>
    <t xml:space="preserve">Recruiting to pause the req in Greenhouse; Marcus to notify Elena. Completion not in the bundle.</t>
  </si>
  <si>
    <t xml:space="preserve">Following yesterday's leadership call: Sales hiring is frozen effective immediately. REQ-114 is paused per Dana's decision, Priya enforcing on reqs. The May 1 roster is now stale on that point — Sales AE is NOT moving forward right now. Updating my notes; please don't recruit against it.</t>
  </si>
  <si>
    <t xml:space="preserve">People confirms the freeze and says the May 1 roster is stale (C1); also dates the call to the previous day (C2).</t>
  </si>
  <si>
    <t xml:space="preserve">Sofia Marchetti</t>
  </si>
  <si>
    <t xml:space="preserve">Got it. Does the freeze touch the Creator Management backfill?</t>
  </si>
  <si>
    <t xml:space="preserve">Sofia asks whether the freeze covers the Creator Management backfill.</t>
  </si>
  <si>
    <t xml:space="preserve">No — freeze is Sales-only for now. Other teams' open reqs are unaffected. Just Sales.</t>
  </si>
  <si>
    <t xml:space="preserve">Freeze is Sales-only; other teams' open reqs unaffected.</t>
  </si>
  <si>
    <t xml:space="preserve">Q3 planning prep: if you want any new headcount considered, get it to me with justification by end of month. Note Sales is on freeze so don't bother submitting Sales reqs until that lifts.</t>
  </si>
  <si>
    <t xml:space="preserve">Q3 planning: don't submit Sales reqs while the freeze holds. Latest statement in the bundle; still frozen.</t>
  </si>
  <si>
    <t xml:space="preserve">Non-Sales roles. The freeze is Sales-only ('Other teams' open reqs are unaffected' — slack L79, L236), so these stay open. Roster and People's list don't agree — see Flag and Conflict C5.</t>
  </si>
  <si>
    <t xml:space="preserve">Role</t>
  </si>
  <si>
    <t xml:space="preserve">Req ID</t>
  </si>
  <si>
    <t xml:space="preserve">Team</t>
  </si>
  <si>
    <t xml:space="preserve">Hiring manager</t>
  </si>
  <si>
    <t xml:space="preserve">Status</t>
  </si>
  <si>
    <t xml:space="preserve">Target start</t>
  </si>
  <si>
    <t xml:space="preserve">Affected by Sales freeze?</t>
  </si>
  <si>
    <t xml:space="preserve">In roster (May 1)?</t>
  </si>
  <si>
    <t xml:space="preserve">In People's May 1 list?</t>
  </si>
  <si>
    <t xml:space="preserve">Raw source (verbatim)</t>
  </si>
  <si>
    <t xml:space="preserve">Source</t>
  </si>
  <si>
    <t xml:space="preserve">Backend Engineer</t>
  </si>
  <si>
    <t xml:space="preserve">REQ-118</t>
  </si>
  <si>
    <t xml:space="preserve">Engineering</t>
  </si>
  <si>
    <t xml:space="preserve">Raj Patel</t>
  </si>
  <si>
    <t xml:space="preserve">2026-08-01</t>
  </si>
  <si>
    <t xml:space="preserve">No</t>
  </si>
  <si>
    <t xml:space="preserve">Yes (L23)</t>
  </si>
  <si>
    <t xml:space="preserve">Yes — 'an Eng role' (slack L222)</t>
  </si>
  <si>
    <t xml:space="preserve">REQ-118,Engineering,Backend Engineer,OPEN,2026-08-01,Raj Patel</t>
  </si>
  <si>
    <t xml:space="preserve">headcount_roster.csv:L23</t>
  </si>
  <si>
    <t xml:space="preserve">CHECK</t>
  </si>
  <si>
    <t xml:space="preserve">Raj: Eng has 'a couple open but no urgency' (slack L217), but the roster lists only one Eng req.</t>
  </si>
  <si>
    <t xml:space="preserve">Senior Video Editor</t>
  </si>
  <si>
    <t xml:space="preserve">REQ-121</t>
  </si>
  <si>
    <t xml:space="preserve">Content/Production</t>
  </si>
  <si>
    <t xml:space="preserve">Yuki Tanaka</t>
  </si>
  <si>
    <t xml:space="preserve">2026-07-01</t>
  </si>
  <si>
    <t xml:space="preserve">Yes (L24)</t>
  </si>
  <si>
    <t xml:space="preserve">REQ-121,Content/Production,Senior Video Editor,OPEN,2026-07-01,Yuki Tanaka</t>
  </si>
  <si>
    <t xml:space="preserve">headcount_roster.csv:L24</t>
  </si>
  <si>
    <t xml:space="preserve">CONFLICT</t>
  </si>
  <si>
    <t xml:space="preserve">In the roster but missing from Elena's May 1 'official picture' (slack L222).</t>
  </si>
  <si>
    <t xml:space="preserve">Analytics Engineer</t>
  </si>
  <si>
    <t xml:space="preserve">REQ-125</t>
  </si>
  <si>
    <t xml:space="preserve">Data</t>
  </si>
  <si>
    <t xml:space="preserve">Ben Okoro</t>
  </si>
  <si>
    <t xml:space="preserve">— (blank)</t>
  </si>
  <si>
    <t xml:space="preserve">Yes (L25)</t>
  </si>
  <si>
    <t xml:space="preserve">REQ-125,Data,Analytics Engineer,OPEN,,Ben Okoro</t>
  </si>
  <si>
    <t xml:space="preserve">headcount_roster.csv:L25</t>
  </si>
  <si>
    <t xml:space="preserve">No target start date (roster L25), so urgency can't be judged. Also missing from Elena's May 1 list (slack L222).</t>
  </si>
  <si>
    <t xml:space="preserve">Creator Management backfill</t>
  </si>
  <si>
    <t xml:space="preserve">— (no req ID)</t>
  </si>
  <si>
    <t xml:space="preserve">Creator Management</t>
  </si>
  <si>
    <t xml:space="preserve">Open — proceeding</t>
  </si>
  <si>
    <t xml:space="preserve">Yes (slack L222)</t>
  </si>
  <si>
    <t xml:space="preserve">Perfect, proceeding with the backfill then.</t>
  </si>
  <si>
    <t xml:space="preserve">slack_export.md:L239</t>
  </si>
  <si>
    <t xml:space="preserve">Not in the roster at all. Sofia: 'one backfill open' (L214); confirmed unaffected by the freeze and proceeding (L236, L239).</t>
  </si>
  <si>
    <t xml:space="preserve">Lifecycle marketer</t>
  </si>
  <si>
    <t xml:space="preserve">— (proposed)</t>
  </si>
  <si>
    <t xml:space="preserve">Growth/Marketing</t>
  </si>
  <si>
    <t xml:space="preserve">Hannah Cole</t>
  </si>
  <si>
    <t xml:space="preserve">Proposed for Q3</t>
  </si>
  <si>
    <t xml:space="preserve">Growth might want a lifecycle marketer. Will write it up.</t>
  </si>
  <si>
    <t xml:space="preserve">slack_export.md:L247</t>
  </si>
  <si>
    <t xml:space="preserve">PROPOSED</t>
  </si>
  <si>
    <t xml:space="preserve">Not a req yet. Hannah 'will write it up' for Q3 planning; requests due end of June (slack L243).</t>
  </si>
  <si>
    <t xml:space="preserve">Post-production video editor</t>
  </si>
  <si>
    <t xml:space="preserve">Post production could use another editor — that's the real bottleneck, not shooting. Will submit.</t>
  </si>
  <si>
    <t xml:space="preserve">slack_export.md:L250</t>
  </si>
  <si>
    <t xml:space="preserve">Yuki 'will submit'; post is the real bottleneck (also L34). Unclear if additional to REQ-121 or overlapping.</t>
  </si>
  <si>
    <t xml:space="preserve">Open non-Sales roles (roster + People list, excl. proposed)</t>
  </si>
  <si>
    <t xml:space="preserve">…of which in the roster</t>
  </si>
  <si>
    <t xml:space="preserve">…of which in People's May 1 list</t>
  </si>
  <si>
    <t xml:space="preserve">Proposed for Q3 (not yet reqs)</t>
  </si>
  <si>
    <t xml:space="preserve">Affected by the Sales freeze</t>
  </si>
  <si>
    <t xml:space="preserve">Bounds: 4 open non-Sales roles in the union of both sources; 5+ if Engineering really has 'a couple' open (slack L217). Unblock with a Greenhouse export or an updated req list from Elena.</t>
  </si>
  <si>
    <t xml:space="preserve">headcount_roster.csv — header and OPEN_REQUISITIONS section, verbatim (lines 1–4, 20–25).</t>
  </si>
  <si>
    <t xml:space="preserve">Raw row</t>
  </si>
  <si>
    <t xml:space="preserve">Northwind Media — Headcount Roster Snapshot</t>
  </si>
  <si>
    <t xml:space="preserve">Currency,USD</t>
  </si>
  <si>
    <t xml:space="preserve">Prepared_by,Elena Novak (Head of People)</t>
  </si>
  <si>
    <t xml:space="preserve">SECTION,OPEN_REQUISITIONS</t>
  </si>
  <si>
    <t xml:space="preserve">Req_ID,Team,Title,Status,Target_Start,Hiring_Manager</t>
  </si>
  <si>
    <t xml:space="preserve">REQ-114 APPROVED as of 2026-05-01. Frozen/paused since 2026-06-10: slack L67 (Dana), L70 (Priya), L230 (Elena: 'May 1 roster is now stale'), leadership_sync L16 ('superseded by this decision').</t>
  </si>
  <si>
    <t xml:space="preserve">Not Sales; freeze is Sales-only (slack L79, L236), so unaffected.</t>
  </si>
  <si>
    <t xml:space="preserve">Also not in the roster: the Creator Management backfill Elena mentions on May 1 (slack L222). The roster isn't the full req picture.</t>
  </si>
  <si>
    <t xml:space="preserve">Where sources disagree — what each says, how I resolved it, and what it changes.</t>
  </si>
  <si>
    <t xml:space="preserve">ID</t>
  </si>
  <si>
    <t xml:space="preserve">Issue</t>
  </si>
  <si>
    <t xml:space="preserve">Source A</t>
  </si>
  <si>
    <t xml:space="preserve">Source B</t>
  </si>
  <si>
    <t xml:space="preserve">Resolution</t>
  </si>
  <si>
    <t xml:space="preserve">Effect on answer</t>
  </si>
  <si>
    <t xml:space="preserve">Confidence</t>
  </si>
  <si>
    <t xml:space="preserve">Unblocker</t>
  </si>
  <si>
    <t xml:space="preserve">C1</t>
  </si>
  <si>
    <t xml:space="preserve">REQ-114 status</t>
  </si>
  <si>
    <t xml:space="preserve">headcount_roster.csv L22 — APPROVED, start 2026-07-15 (snapshot 2026-05-01)</t>
  </si>
  <si>
    <t xml:space="preserve">slack L67, L70, L230; leadership_sync L16 — frozen / paused / roster superseded</t>
  </si>
  <si>
    <t xml:space="preserve">Later, explicit sources win. Roster is a stale snapshot.</t>
  </si>
  <si>
    <t xml:space="preserve">Status = PAUSED, not approved</t>
  </si>
  <si>
    <t xml:space="preserve">Update the roster / Greenhouse (Elena)</t>
  </si>
  <si>
    <t xml:space="preserve">C2</t>
  </si>
  <si>
    <t xml:space="preserve">Decision date</t>
  </si>
  <si>
    <t xml:space="preserve">slack L67 — Wed 2026-06-10 08:47</t>
  </si>
  <si>
    <t xml:space="preserve">leadership_sync file/header — Thu 2026-06-11; Elena on Jun 11 (L230): 'yesterday's leadership call'</t>
  </si>
  <si>
    <t xml:space="preserve">2026-06-10. Minutes appear written up the next day.</t>
  </si>
  <si>
    <t xml:space="preserve">None on the state; date only</t>
  </si>
  <si>
    <t xml:space="preserve">—</t>
  </si>
  <si>
    <t xml:space="preserve">C3</t>
  </si>
  <si>
    <t xml:space="preserve">When the freeze is revisited</t>
  </si>
  <si>
    <t xml:space="preserve">slack L76 (Marcus) — 'at the Q2 review'; L70 (Priya) — 'when Q2 pipeline shows recovery'</t>
  </si>
  <si>
    <t xml:space="preserve">leadership_sync L19 — July sync; trigger = coverage on target + 2 months recovered conversion</t>
  </si>
  <si>
    <t xml:space="preserve">Minutes are the most specific; the others are compatible.</t>
  </si>
  <si>
    <t xml:space="preserve">Defines when it could lift</t>
  </si>
  <si>
    <t xml:space="preserve">July leadership notes</t>
  </si>
  <si>
    <t xml:space="preserve">C4</t>
  </si>
  <si>
    <t xml:space="preserve">Do backfills count?</t>
  </si>
  <si>
    <t xml:space="preserve">slack L67 — 'all new Sales headcount'</t>
  </si>
  <si>
    <t xml:space="preserve">leadership_sync L17 — net-new only; backfills case by case (Priya + Tomás)</t>
  </si>
  <si>
    <t xml:space="preserve">Minutes add detail. Net-new frozen; backfills need sign-off.</t>
  </si>
  <si>
    <t xml:space="preserve">Scope of the freeze</t>
  </si>
  <si>
    <t xml:space="preserve">Confirm with Priya</t>
  </si>
  <si>
    <t xml:space="preserve">C5</t>
  </si>
  <si>
    <t xml:space="preserve">Which non-Sales roles are open?</t>
  </si>
  <si>
    <t xml:space="preserve">headcount_roster.csv L23–L25 — REQ-118 (Eng), REQ-121 (Content), REQ-125 (Data)</t>
  </si>
  <si>
    <t xml:space="preserve">slack L222 (Elena, May 1, 'official picture') — Sales AE, Creator Mgmt backfill, one Eng role</t>
  </si>
  <si>
    <t xml:space="preserve">Neither list is complete. Union = 4 open non-Sales roles (5+ if Eng has 'a couple', L217).</t>
  </si>
  <si>
    <t xml:space="preserve">Open-role count 4–5+</t>
  </si>
  <si>
    <t xml:space="preserve">Greenhouse export / updated req list (Elena)</t>
  </si>
  <si>
    <t xml:space="preserve">Follow-ups assigned with the decision. Status is what the bundle shows, not what probably happened.</t>
  </si>
  <si>
    <t xml:space="preserve">Action (verbatim from minutes)</t>
  </si>
  <si>
    <t xml:space="preserve">Owner</t>
  </si>
  <si>
    <t xml:space="preserve">Due</t>
  </si>
  <si>
    <t xml:space="preserve">Status in bundle</t>
  </si>
  <si>
    <t xml:space="preserve">Why it matters</t>
  </si>
  <si>
    <t xml:space="preserve">Confirm REQ-114 candidate handling (pause vs finish loop, no offer)</t>
  </si>
  <si>
    <t xml:space="preserve">Priya + Tomás</t>
  </si>
  <si>
    <t xml:space="preserve">2026-06-13</t>
  </si>
  <si>
    <t xml:space="preserve">Not evidenced</t>
  </si>
  <si>
    <t xml:space="preserve">Risk: an offer goes out against a frozen req.</t>
  </si>
  <si>
    <t xml:space="preserve">Notify Elena/People to pause Sales req in Greenhouse</t>
  </si>
  <si>
    <t xml:space="preserve">Marcus</t>
  </si>
  <si>
    <t xml:space="preserve">2026-06-12</t>
  </si>
  <si>
    <t xml:space="preserve">Partly evidenced</t>
  </si>
  <si>
    <t xml:space="preserve">Elena knew on Jun 11 (slack L230), but the Greenhouse status isn't in the bundle.</t>
  </si>
  <si>
    <t xml:space="preserve">Re-evaluate freeze at July leadership sync</t>
  </si>
  <si>
    <t xml:space="preserve">Leadership</t>
  </si>
  <si>
    <t xml:space="preserve">July 2026</t>
  </si>
  <si>
    <t xml:space="preserve">Bundle ends 2026-06-17.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</si>
</sst>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  <c r="C5" s="5" t="s">
        <v>7</v>
      </c>
    </row>
    <row r="6" customFormat="false" ht="15" hidden="false" customHeight="false" outlineLevel="0" collapsed="false">
      <c r="A6" s="3" t="s">
        <v>8</v>
      </c>
      <c r="B6" s="4" t="s">
        <v>9</v>
      </c>
      <c r="C6" s="5" t="s">
        <v>10</v>
      </c>
    </row>
    <row r="7" customFormat="false" ht="15" hidden="false" customHeight="false" outlineLevel="0" collapsed="false">
      <c r="A7" s="3" t="s">
        <v>11</v>
      </c>
      <c r="B7" s="6" t="n">
        <f aca="false">_xlfn.MINIFS('Timeline (raw)'!$B$3:$B$26,'Timeline (raw)'!$I$3:$I$26,"Yes",'Timeline (raw)'!$H$3:$H$26,"FREEZE")</f>
        <v>46183.3659722222</v>
      </c>
      <c r="C7" s="5" t="s">
        <v>12</v>
      </c>
    </row>
    <row r="8" customFormat="false" ht="15" hidden="false" customHeight="false" outlineLevel="0" collapsed="false">
      <c r="A8" s="3" t="s">
        <v>13</v>
      </c>
      <c r="B8" s="3" t="n">
        <f aca="false">COUNTA('Timeline (raw)'!$H$3:$H$26)</f>
        <v>24</v>
      </c>
      <c r="C8" s="5" t="s">
        <v>14</v>
      </c>
    </row>
    <row r="9" customFormat="false" ht="15" hidden="false" customHeight="false" outlineLevel="0" collapsed="false">
      <c r="A9" s="3" t="s">
        <v>15</v>
      </c>
      <c r="B9" s="3" t="n">
        <f aca="false">COUNTIFS('Timeline (raw)'!$H$3:$H$26,"FREEZE",'Timeline (raw)'!$B$3:$B$26,"&gt;="&amp;B7)</f>
        <v>12</v>
      </c>
      <c r="C9" s="5" t="s">
        <v>16</v>
      </c>
    </row>
    <row r="10" customFormat="false" ht="15" hidden="false" customHeight="false" outlineLevel="0" collapsed="false">
      <c r="A10" s="3" t="s">
        <v>17</v>
      </c>
      <c r="B10" s="3" t="n">
        <f aca="false">COUNTIFS('Timeline (raw)'!$H$3:$H$26,"HIRE",'Timeline (raw)'!$B$3:$B$26,"&gt;"&amp;B7)</f>
        <v>0</v>
      </c>
      <c r="C10" s="5" t="s">
        <v>18</v>
      </c>
    </row>
    <row r="11" customFormat="false" ht="15" hidden="false" customHeight="false" outlineLevel="0" collapsed="false">
      <c r="A11" s="3" t="s">
        <v>19</v>
      </c>
      <c r="B11" s="4" t="str">
        <f aca="false">IF(B10=0,"No — still frozen at end of bundle","Yes — check rows")</f>
        <v>No — still frozen at end of bundle</v>
      </c>
      <c r="C11" s="5"/>
    </row>
    <row r="12" customFormat="false" ht="15" hidden="false" customHeight="false" outlineLevel="0" collapsed="false">
      <c r="A12" s="3" t="s">
        <v>20</v>
      </c>
      <c r="B12" s="6" t="n">
        <f aca="false">MAX('Timeline (raw)'!$B$3:$B$26)</f>
        <v>46188.5833333333</v>
      </c>
      <c r="C12" s="5" t="s">
        <v>21</v>
      </c>
    </row>
    <row r="13" customFormat="false" ht="23.85" hidden="false" customHeight="false" outlineLevel="0" collapsed="false">
      <c r="A13" s="3" t="s">
        <v>22</v>
      </c>
      <c r="B13" s="3" t="s">
        <v>23</v>
      </c>
      <c r="C13" s="5" t="s">
        <v>24</v>
      </c>
    </row>
    <row r="14" customFormat="false" ht="15" hidden="false" customHeight="false" outlineLevel="0" collapsed="false">
      <c r="A14" s="3" t="s">
        <v>25</v>
      </c>
      <c r="B14" s="4" t="s">
        <v>26</v>
      </c>
      <c r="C14" s="5" t="s">
        <v>27</v>
      </c>
    </row>
    <row r="15" customFormat="false" ht="15" hidden="false" customHeight="false" outlineLevel="0" collapsed="false">
      <c r="A15" s="3" t="s">
        <v>28</v>
      </c>
      <c r="B15" s="3" t="s">
        <v>29</v>
      </c>
      <c r="C15" s="5" t="s">
        <v>30</v>
      </c>
    </row>
    <row r="16" customFormat="false" ht="15" hidden="false" customHeight="false" outlineLevel="0" collapsed="false">
      <c r="A16" s="3" t="s">
        <v>31</v>
      </c>
      <c r="B16" s="4" t="s">
        <v>32</v>
      </c>
      <c r="C16" s="5" t="s">
        <v>33</v>
      </c>
    </row>
    <row r="19" customFormat="false" ht="15" hidden="false" customHeight="false" outlineLevel="0" collapsed="false">
      <c r="A19" s="2" t="s">
        <v>34</v>
      </c>
    </row>
    <row r="20" customFormat="false" ht="15" hidden="false" customHeight="false" outlineLevel="0" collapsed="false">
      <c r="A20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70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4" t="s">
        <v>36</v>
      </c>
    </row>
    <row r="2" customFormat="false" ht="26.8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</row>
    <row r="3" customFormat="false" ht="35.05" hidden="false" customHeight="false" outlineLevel="0" collapsed="false">
      <c r="A3" s="8" t="n">
        <v>1</v>
      </c>
      <c r="B3" s="9" t="n">
        <v>46133.3965277778</v>
      </c>
      <c r="C3" s="8" t="s">
        <v>48</v>
      </c>
      <c r="D3" s="8" t="n">
        <v>17</v>
      </c>
      <c r="E3" s="8" t="s">
        <v>49</v>
      </c>
      <c r="F3" s="8" t="s">
        <v>50</v>
      </c>
      <c r="G3" s="8" t="s">
        <v>51</v>
      </c>
      <c r="H3" s="8" t="s">
        <v>52</v>
      </c>
      <c r="I3" s="8"/>
      <c r="J3" s="8"/>
      <c r="K3" s="8" t="s">
        <v>53</v>
      </c>
    </row>
    <row r="4" customFormat="false" ht="23.85" hidden="false" customHeight="false" outlineLevel="0" collapsed="false">
      <c r="A4" s="8" t="n">
        <v>2</v>
      </c>
      <c r="B4" s="9" t="n">
        <v>46133.4027777778</v>
      </c>
      <c r="C4" s="8" t="s">
        <v>48</v>
      </c>
      <c r="D4" s="8" t="n">
        <v>20</v>
      </c>
      <c r="E4" s="8" t="s">
        <v>54</v>
      </c>
      <c r="F4" s="8" t="s">
        <v>50</v>
      </c>
      <c r="G4" s="8" t="s">
        <v>55</v>
      </c>
      <c r="H4" s="8" t="s">
        <v>56</v>
      </c>
      <c r="I4" s="8"/>
      <c r="J4" s="8"/>
      <c r="K4" s="8" t="s">
        <v>57</v>
      </c>
    </row>
    <row r="5" customFormat="false" ht="15" hidden="false" customHeight="false" outlineLevel="0" collapsed="false">
      <c r="A5" s="8" t="n">
        <v>3</v>
      </c>
      <c r="B5" s="9" t="n">
        <v>46133.4055555556</v>
      </c>
      <c r="C5" s="8" t="s">
        <v>48</v>
      </c>
      <c r="D5" s="8" t="n">
        <v>23</v>
      </c>
      <c r="E5" s="8" t="s">
        <v>49</v>
      </c>
      <c r="F5" s="8" t="s">
        <v>50</v>
      </c>
      <c r="G5" s="8" t="s">
        <v>58</v>
      </c>
      <c r="H5" s="8" t="s">
        <v>52</v>
      </c>
      <c r="I5" s="8"/>
      <c r="J5" s="8"/>
      <c r="K5" s="8" t="s">
        <v>59</v>
      </c>
    </row>
    <row r="6" customFormat="false" ht="23.85" hidden="false" customHeight="false" outlineLevel="0" collapsed="false">
      <c r="A6" s="8" t="n">
        <v>4</v>
      </c>
      <c r="B6" s="9" t="n">
        <v>46133.4111111111</v>
      </c>
      <c r="C6" s="8" t="s">
        <v>48</v>
      </c>
      <c r="D6" s="8" t="n">
        <v>26</v>
      </c>
      <c r="E6" s="8" t="s">
        <v>60</v>
      </c>
      <c r="F6" s="8" t="s">
        <v>50</v>
      </c>
      <c r="G6" s="8" t="s">
        <v>61</v>
      </c>
      <c r="H6" s="8" t="s">
        <v>56</v>
      </c>
      <c r="I6" s="8"/>
      <c r="J6" s="8"/>
      <c r="K6" s="8" t="s">
        <v>62</v>
      </c>
    </row>
    <row r="7" customFormat="false" ht="23.85" hidden="false" customHeight="false" outlineLevel="0" collapsed="false">
      <c r="A7" s="8" t="n">
        <v>5</v>
      </c>
      <c r="B7" s="10" t="n">
        <v>46143</v>
      </c>
      <c r="C7" s="8" t="s">
        <v>63</v>
      </c>
      <c r="D7" s="8" t="n">
        <v>2</v>
      </c>
      <c r="E7" s="8" t="s">
        <v>64</v>
      </c>
      <c r="F7" s="8" t="s">
        <v>65</v>
      </c>
      <c r="G7" s="11" t="s">
        <v>66</v>
      </c>
      <c r="H7" s="11" t="s">
        <v>67</v>
      </c>
      <c r="I7" s="8"/>
      <c r="J7" s="11"/>
      <c r="K7" s="8" t="s">
        <v>68</v>
      </c>
    </row>
    <row r="8" customFormat="false" ht="35.05" hidden="false" customHeight="false" outlineLevel="0" collapsed="false">
      <c r="A8" s="8" t="n">
        <v>6</v>
      </c>
      <c r="B8" s="10" t="n">
        <v>46143</v>
      </c>
      <c r="C8" s="8" t="s">
        <v>63</v>
      </c>
      <c r="D8" s="8" t="n">
        <v>22</v>
      </c>
      <c r="E8" s="8" t="s">
        <v>64</v>
      </c>
      <c r="F8" s="8" t="s">
        <v>65</v>
      </c>
      <c r="G8" s="12" t="s">
        <v>69</v>
      </c>
      <c r="H8" s="12" t="s">
        <v>52</v>
      </c>
      <c r="I8" s="8"/>
      <c r="J8" s="13" t="s">
        <v>70</v>
      </c>
      <c r="K8" s="8" t="s">
        <v>71</v>
      </c>
    </row>
    <row r="9" customFormat="false" ht="35.05" hidden="false" customHeight="false" outlineLevel="0" collapsed="false">
      <c r="A9" s="8" t="n">
        <v>7</v>
      </c>
      <c r="B9" s="9" t="n">
        <v>46143.6875</v>
      </c>
      <c r="C9" s="8" t="s">
        <v>48</v>
      </c>
      <c r="D9" s="8" t="n">
        <v>222</v>
      </c>
      <c r="E9" s="8" t="s">
        <v>72</v>
      </c>
      <c r="F9" s="8" t="s">
        <v>73</v>
      </c>
      <c r="G9" s="12" t="s">
        <v>74</v>
      </c>
      <c r="H9" s="12" t="s">
        <v>52</v>
      </c>
      <c r="I9" s="8"/>
      <c r="J9" s="13" t="s">
        <v>70</v>
      </c>
      <c r="K9" s="8" t="s">
        <v>75</v>
      </c>
    </row>
    <row r="10" customFormat="false" ht="15" hidden="false" customHeight="false" outlineLevel="0" collapsed="false">
      <c r="A10" s="8" t="n">
        <v>8</v>
      </c>
      <c r="B10" s="9" t="n">
        <v>46143.6951388889</v>
      </c>
      <c r="C10" s="8" t="s">
        <v>48</v>
      </c>
      <c r="D10" s="8" t="n">
        <v>225</v>
      </c>
      <c r="E10" s="8" t="s">
        <v>49</v>
      </c>
      <c r="F10" s="8" t="s">
        <v>73</v>
      </c>
      <c r="G10" s="8" t="s">
        <v>76</v>
      </c>
      <c r="H10" s="8" t="s">
        <v>52</v>
      </c>
      <c r="I10" s="8"/>
      <c r="J10" s="8"/>
      <c r="K10" s="8" t="s">
        <v>77</v>
      </c>
    </row>
    <row r="11" customFormat="false" ht="46.25" hidden="false" customHeight="false" outlineLevel="0" collapsed="false">
      <c r="A11" s="8" t="n">
        <v>9</v>
      </c>
      <c r="B11" s="9" t="n">
        <v>46183.3659722222</v>
      </c>
      <c r="C11" s="8" t="s">
        <v>48</v>
      </c>
      <c r="D11" s="8" t="n">
        <v>67</v>
      </c>
      <c r="E11" s="8" t="s">
        <v>60</v>
      </c>
      <c r="F11" s="8" t="s">
        <v>50</v>
      </c>
      <c r="G11" s="14" t="s">
        <v>78</v>
      </c>
      <c r="H11" s="14" t="s">
        <v>79</v>
      </c>
      <c r="I11" s="8" t="s">
        <v>80</v>
      </c>
      <c r="J11" s="15" t="s">
        <v>81</v>
      </c>
      <c r="K11" s="8" t="s">
        <v>82</v>
      </c>
    </row>
    <row r="12" customFormat="false" ht="23.85" hidden="false" customHeight="false" outlineLevel="0" collapsed="false">
      <c r="A12" s="8" t="n">
        <v>10</v>
      </c>
      <c r="B12" s="9" t="n">
        <v>46183.3694444444</v>
      </c>
      <c r="C12" s="8" t="s">
        <v>48</v>
      </c>
      <c r="D12" s="8" t="n">
        <v>70</v>
      </c>
      <c r="E12" s="8" t="s">
        <v>83</v>
      </c>
      <c r="F12" s="8" t="s">
        <v>50</v>
      </c>
      <c r="G12" s="8" t="s">
        <v>84</v>
      </c>
      <c r="H12" s="8" t="s">
        <v>79</v>
      </c>
      <c r="I12" s="8"/>
      <c r="J12" s="8"/>
      <c r="K12" s="8" t="s">
        <v>85</v>
      </c>
    </row>
    <row r="13" customFormat="false" ht="23.85" hidden="false" customHeight="false" outlineLevel="0" collapsed="false">
      <c r="A13" s="8" t="n">
        <v>11</v>
      </c>
      <c r="B13" s="9" t="n">
        <v>46183.3784722222</v>
      </c>
      <c r="C13" s="8" t="s">
        <v>48</v>
      </c>
      <c r="D13" s="8" t="n">
        <v>73</v>
      </c>
      <c r="E13" s="8" t="s">
        <v>49</v>
      </c>
      <c r="F13" s="8" t="s">
        <v>50</v>
      </c>
      <c r="G13" s="8" t="s">
        <v>86</v>
      </c>
      <c r="H13" s="8" t="s">
        <v>79</v>
      </c>
      <c r="I13" s="8"/>
      <c r="J13" s="8"/>
      <c r="K13" s="8" t="s">
        <v>87</v>
      </c>
    </row>
    <row r="14" customFormat="false" ht="23.85" hidden="false" customHeight="false" outlineLevel="0" collapsed="false">
      <c r="A14" s="8" t="n">
        <v>12</v>
      </c>
      <c r="B14" s="9" t="n">
        <v>46183.3826388889</v>
      </c>
      <c r="C14" s="8" t="s">
        <v>48</v>
      </c>
      <c r="D14" s="8" t="n">
        <v>76</v>
      </c>
      <c r="E14" s="8" t="s">
        <v>54</v>
      </c>
      <c r="F14" s="8" t="s">
        <v>50</v>
      </c>
      <c r="G14" s="8" t="s">
        <v>88</v>
      </c>
      <c r="H14" s="8" t="s">
        <v>79</v>
      </c>
      <c r="I14" s="8"/>
      <c r="J14" s="8"/>
      <c r="K14" s="8" t="s">
        <v>89</v>
      </c>
    </row>
    <row r="15" customFormat="false" ht="35.05" hidden="false" customHeight="false" outlineLevel="0" collapsed="false">
      <c r="A15" s="8" t="n">
        <v>13</v>
      </c>
      <c r="B15" s="9" t="n">
        <v>46183.3847222222</v>
      </c>
      <c r="C15" s="8" t="s">
        <v>48</v>
      </c>
      <c r="D15" s="8" t="n">
        <v>79</v>
      </c>
      <c r="E15" s="8" t="s">
        <v>60</v>
      </c>
      <c r="F15" s="8" t="s">
        <v>50</v>
      </c>
      <c r="G15" s="14" t="s">
        <v>90</v>
      </c>
      <c r="H15" s="14" t="s">
        <v>79</v>
      </c>
      <c r="I15" s="8" t="s">
        <v>80</v>
      </c>
      <c r="J15" s="15" t="s">
        <v>81</v>
      </c>
      <c r="K15" s="8" t="s">
        <v>91</v>
      </c>
    </row>
    <row r="16" customFormat="false" ht="35.05" hidden="false" customHeight="false" outlineLevel="0" collapsed="false">
      <c r="A16" s="8" t="n">
        <v>14</v>
      </c>
      <c r="B16" s="10" t="n">
        <v>46184</v>
      </c>
      <c r="C16" s="8" t="s">
        <v>92</v>
      </c>
      <c r="D16" s="8" t="n">
        <v>15</v>
      </c>
      <c r="E16" s="8" t="s">
        <v>93</v>
      </c>
      <c r="F16" s="8" t="s">
        <v>94</v>
      </c>
      <c r="G16" s="11" t="s">
        <v>95</v>
      </c>
      <c r="H16" s="11" t="s">
        <v>67</v>
      </c>
      <c r="I16" s="8"/>
      <c r="J16" s="11"/>
      <c r="K16" s="8" t="s">
        <v>96</v>
      </c>
    </row>
    <row r="17" customFormat="false" ht="46.25" hidden="false" customHeight="false" outlineLevel="0" collapsed="false">
      <c r="A17" s="8" t="n">
        <v>15</v>
      </c>
      <c r="B17" s="10" t="n">
        <v>46184</v>
      </c>
      <c r="C17" s="8" t="s">
        <v>92</v>
      </c>
      <c r="D17" s="8" t="n">
        <v>16</v>
      </c>
      <c r="E17" s="8" t="s">
        <v>93</v>
      </c>
      <c r="F17" s="8" t="s">
        <v>94</v>
      </c>
      <c r="G17" s="14" t="s">
        <v>97</v>
      </c>
      <c r="H17" s="14" t="s">
        <v>79</v>
      </c>
      <c r="I17" s="8" t="s">
        <v>80</v>
      </c>
      <c r="J17" s="15" t="s">
        <v>81</v>
      </c>
      <c r="K17" s="8" t="s">
        <v>98</v>
      </c>
    </row>
    <row r="18" customFormat="false" ht="23.85" hidden="false" customHeight="false" outlineLevel="0" collapsed="false">
      <c r="A18" s="8" t="n">
        <v>16</v>
      </c>
      <c r="B18" s="10" t="n">
        <v>46184</v>
      </c>
      <c r="C18" s="8" t="s">
        <v>92</v>
      </c>
      <c r="D18" s="8" t="n">
        <v>17</v>
      </c>
      <c r="E18" s="8" t="s">
        <v>93</v>
      </c>
      <c r="F18" s="8" t="s">
        <v>94</v>
      </c>
      <c r="G18" s="16" t="s">
        <v>99</v>
      </c>
      <c r="H18" s="16" t="s">
        <v>79</v>
      </c>
      <c r="I18" s="8"/>
      <c r="J18" s="17" t="s">
        <v>100</v>
      </c>
      <c r="K18" s="8" t="s">
        <v>101</v>
      </c>
    </row>
    <row r="19" customFormat="false" ht="23.85" hidden="false" customHeight="false" outlineLevel="0" collapsed="false">
      <c r="A19" s="8" t="n">
        <v>17</v>
      </c>
      <c r="B19" s="10" t="n">
        <v>46184</v>
      </c>
      <c r="C19" s="8" t="s">
        <v>92</v>
      </c>
      <c r="D19" s="8" t="n">
        <v>18</v>
      </c>
      <c r="E19" s="8" t="s">
        <v>93</v>
      </c>
      <c r="F19" s="8" t="s">
        <v>94</v>
      </c>
      <c r="G19" s="14" t="s">
        <v>102</v>
      </c>
      <c r="H19" s="14" t="s">
        <v>79</v>
      </c>
      <c r="I19" s="8" t="s">
        <v>80</v>
      </c>
      <c r="J19" s="15" t="s">
        <v>81</v>
      </c>
      <c r="K19" s="8" t="s">
        <v>103</v>
      </c>
    </row>
    <row r="20" customFormat="false" ht="23.85" hidden="false" customHeight="false" outlineLevel="0" collapsed="false">
      <c r="A20" s="8" t="n">
        <v>18</v>
      </c>
      <c r="B20" s="10" t="n">
        <v>46184</v>
      </c>
      <c r="C20" s="8" t="s">
        <v>92</v>
      </c>
      <c r="D20" s="8" t="n">
        <v>19</v>
      </c>
      <c r="E20" s="8" t="s">
        <v>93</v>
      </c>
      <c r="F20" s="8" t="s">
        <v>94</v>
      </c>
      <c r="G20" s="8" t="s">
        <v>104</v>
      </c>
      <c r="H20" s="8" t="s">
        <v>79</v>
      </c>
      <c r="I20" s="8"/>
      <c r="J20" s="8"/>
      <c r="K20" s="8" t="s">
        <v>105</v>
      </c>
    </row>
    <row r="21" customFormat="false" ht="35.05" hidden="false" customHeight="false" outlineLevel="0" collapsed="false">
      <c r="A21" s="8" t="n">
        <v>19</v>
      </c>
      <c r="B21" s="10" t="n">
        <v>46184</v>
      </c>
      <c r="C21" s="8" t="s">
        <v>92</v>
      </c>
      <c r="D21" s="8" t="n">
        <v>20</v>
      </c>
      <c r="E21" s="8" t="s">
        <v>93</v>
      </c>
      <c r="F21" s="8" t="s">
        <v>94</v>
      </c>
      <c r="G21" s="16" t="s">
        <v>106</v>
      </c>
      <c r="H21" s="16" t="s">
        <v>67</v>
      </c>
      <c r="I21" s="8"/>
      <c r="J21" s="17" t="s">
        <v>107</v>
      </c>
      <c r="K21" s="8" t="s">
        <v>108</v>
      </c>
    </row>
    <row r="22" customFormat="false" ht="23.85" hidden="false" customHeight="false" outlineLevel="0" collapsed="false">
      <c r="A22" s="8" t="n">
        <v>20</v>
      </c>
      <c r="B22" s="10" t="n">
        <v>46184</v>
      </c>
      <c r="C22" s="8" t="s">
        <v>92</v>
      </c>
      <c r="D22" s="8" t="n">
        <v>21</v>
      </c>
      <c r="E22" s="8" t="s">
        <v>93</v>
      </c>
      <c r="F22" s="8" t="s">
        <v>94</v>
      </c>
      <c r="G22" s="16" t="s">
        <v>109</v>
      </c>
      <c r="H22" s="16" t="s">
        <v>67</v>
      </c>
      <c r="I22" s="8"/>
      <c r="J22" s="17" t="s">
        <v>107</v>
      </c>
      <c r="K22" s="8" t="s">
        <v>110</v>
      </c>
    </row>
    <row r="23" customFormat="false" ht="46.25" hidden="false" customHeight="false" outlineLevel="0" collapsed="false">
      <c r="A23" s="8" t="n">
        <v>21</v>
      </c>
      <c r="B23" s="9" t="n">
        <v>46184.3958333333</v>
      </c>
      <c r="C23" s="8" t="s">
        <v>48</v>
      </c>
      <c r="D23" s="8" t="n">
        <v>230</v>
      </c>
      <c r="E23" s="8" t="s">
        <v>72</v>
      </c>
      <c r="F23" s="8" t="s">
        <v>73</v>
      </c>
      <c r="G23" s="8" t="s">
        <v>111</v>
      </c>
      <c r="H23" s="8" t="s">
        <v>79</v>
      </c>
      <c r="I23" s="8"/>
      <c r="J23" s="8"/>
      <c r="K23" s="8" t="s">
        <v>112</v>
      </c>
    </row>
    <row r="24" customFormat="false" ht="15" hidden="false" customHeight="false" outlineLevel="0" collapsed="false">
      <c r="A24" s="8" t="n">
        <v>22</v>
      </c>
      <c r="B24" s="9" t="n">
        <v>46184.4013888889</v>
      </c>
      <c r="C24" s="8" t="s">
        <v>48</v>
      </c>
      <c r="D24" s="8" t="n">
        <v>233</v>
      </c>
      <c r="E24" s="8" t="s">
        <v>113</v>
      </c>
      <c r="F24" s="8" t="s">
        <v>73</v>
      </c>
      <c r="G24" s="11" t="s">
        <v>114</v>
      </c>
      <c r="H24" s="11" t="s">
        <v>67</v>
      </c>
      <c r="I24" s="8"/>
      <c r="J24" s="11"/>
      <c r="K24" s="8" t="s">
        <v>115</v>
      </c>
    </row>
    <row r="25" customFormat="false" ht="15" hidden="false" customHeight="false" outlineLevel="0" collapsed="false">
      <c r="A25" s="8" t="n">
        <v>23</v>
      </c>
      <c r="B25" s="9" t="n">
        <v>46184.4034722222</v>
      </c>
      <c r="C25" s="8" t="s">
        <v>48</v>
      </c>
      <c r="D25" s="8" t="n">
        <v>236</v>
      </c>
      <c r="E25" s="8" t="s">
        <v>72</v>
      </c>
      <c r="F25" s="8" t="s">
        <v>73</v>
      </c>
      <c r="G25" s="8" t="s">
        <v>116</v>
      </c>
      <c r="H25" s="8" t="s">
        <v>79</v>
      </c>
      <c r="I25" s="8"/>
      <c r="J25" s="8"/>
      <c r="K25" s="8" t="s">
        <v>117</v>
      </c>
    </row>
    <row r="26" customFormat="false" ht="35.05" hidden="false" customHeight="false" outlineLevel="0" collapsed="false">
      <c r="A26" s="8" t="n">
        <v>24</v>
      </c>
      <c r="B26" s="9" t="n">
        <v>46188.5833333333</v>
      </c>
      <c r="C26" s="8" t="s">
        <v>48</v>
      </c>
      <c r="D26" s="8" t="n">
        <v>244</v>
      </c>
      <c r="E26" s="8" t="s">
        <v>72</v>
      </c>
      <c r="F26" s="8" t="s">
        <v>73</v>
      </c>
      <c r="G26" s="8" t="s">
        <v>118</v>
      </c>
      <c r="H26" s="8" t="s">
        <v>79</v>
      </c>
      <c r="I26" s="8"/>
      <c r="J26" s="8"/>
      <c r="K26" s="8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52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4" t="s">
        <v>120</v>
      </c>
    </row>
    <row r="2" customFormat="false" ht="39.55" hidden="false" customHeight="false" outlineLevel="0" collapsed="false">
      <c r="A2" s="7" t="s">
        <v>121</v>
      </c>
      <c r="B2" s="7" t="s">
        <v>122</v>
      </c>
      <c r="C2" s="7" t="s">
        <v>123</v>
      </c>
      <c r="D2" s="7" t="s">
        <v>124</v>
      </c>
      <c r="E2" s="7" t="s">
        <v>125</v>
      </c>
      <c r="F2" s="7" t="s">
        <v>126</v>
      </c>
      <c r="G2" s="7" t="s">
        <v>127</v>
      </c>
      <c r="H2" s="7" t="s">
        <v>128</v>
      </c>
      <c r="I2" s="7" t="s">
        <v>129</v>
      </c>
      <c r="J2" s="7" t="s">
        <v>130</v>
      </c>
      <c r="K2" s="7" t="s">
        <v>131</v>
      </c>
      <c r="L2" s="7" t="s">
        <v>46</v>
      </c>
      <c r="M2" s="7" t="s">
        <v>47</v>
      </c>
    </row>
    <row r="3" customFormat="false" ht="23.85" hidden="false" customHeight="false" outlineLevel="0" collapsed="false">
      <c r="A3" s="16" t="s">
        <v>132</v>
      </c>
      <c r="B3" s="8" t="s">
        <v>133</v>
      </c>
      <c r="C3" s="8" t="s">
        <v>134</v>
      </c>
      <c r="D3" s="8" t="s">
        <v>135</v>
      </c>
      <c r="E3" s="8" t="s">
        <v>107</v>
      </c>
      <c r="F3" s="8" t="s">
        <v>136</v>
      </c>
      <c r="G3" s="8" t="s">
        <v>137</v>
      </c>
      <c r="H3" s="8" t="s">
        <v>138</v>
      </c>
      <c r="I3" s="8" t="s">
        <v>139</v>
      </c>
      <c r="J3" s="8" t="s">
        <v>140</v>
      </c>
      <c r="K3" s="8" t="s">
        <v>141</v>
      </c>
      <c r="L3" s="17" t="s">
        <v>142</v>
      </c>
      <c r="M3" s="8" t="s">
        <v>143</v>
      </c>
    </row>
    <row r="4" customFormat="false" ht="23.85" hidden="false" customHeight="false" outlineLevel="0" collapsed="false">
      <c r="A4" s="12" t="s">
        <v>144</v>
      </c>
      <c r="B4" s="8" t="s">
        <v>145</v>
      </c>
      <c r="C4" s="8" t="s">
        <v>146</v>
      </c>
      <c r="D4" s="8" t="s">
        <v>147</v>
      </c>
      <c r="E4" s="8" t="s">
        <v>107</v>
      </c>
      <c r="F4" s="8" t="s">
        <v>148</v>
      </c>
      <c r="G4" s="8" t="s">
        <v>137</v>
      </c>
      <c r="H4" s="8" t="s">
        <v>149</v>
      </c>
      <c r="I4" s="8" t="s">
        <v>137</v>
      </c>
      <c r="J4" s="8" t="s">
        <v>150</v>
      </c>
      <c r="K4" s="8" t="s">
        <v>151</v>
      </c>
      <c r="L4" s="13" t="s">
        <v>152</v>
      </c>
      <c r="M4" s="8" t="s">
        <v>153</v>
      </c>
    </row>
    <row r="5" customFormat="false" ht="23.85" hidden="false" customHeight="false" outlineLevel="0" collapsed="false">
      <c r="A5" s="12" t="s">
        <v>154</v>
      </c>
      <c r="B5" s="8" t="s">
        <v>155</v>
      </c>
      <c r="C5" s="8" t="s">
        <v>156</v>
      </c>
      <c r="D5" s="8" t="s">
        <v>157</v>
      </c>
      <c r="E5" s="8" t="s">
        <v>107</v>
      </c>
      <c r="F5" s="16" t="s">
        <v>158</v>
      </c>
      <c r="G5" s="8" t="s">
        <v>137</v>
      </c>
      <c r="H5" s="8" t="s">
        <v>159</v>
      </c>
      <c r="I5" s="8" t="s">
        <v>137</v>
      </c>
      <c r="J5" s="8" t="s">
        <v>160</v>
      </c>
      <c r="K5" s="8" t="s">
        <v>161</v>
      </c>
      <c r="L5" s="13" t="s">
        <v>152</v>
      </c>
      <c r="M5" s="8" t="s">
        <v>162</v>
      </c>
    </row>
    <row r="6" customFormat="false" ht="23.85" hidden="false" customHeight="false" outlineLevel="0" collapsed="false">
      <c r="A6" s="12" t="s">
        <v>163</v>
      </c>
      <c r="B6" s="8" t="s">
        <v>164</v>
      </c>
      <c r="C6" s="8" t="s">
        <v>165</v>
      </c>
      <c r="D6" s="8" t="s">
        <v>113</v>
      </c>
      <c r="E6" s="8" t="s">
        <v>166</v>
      </c>
      <c r="F6" s="8" t="s">
        <v>158</v>
      </c>
      <c r="G6" s="8" t="s">
        <v>137</v>
      </c>
      <c r="H6" s="8" t="s">
        <v>137</v>
      </c>
      <c r="I6" s="8" t="s">
        <v>167</v>
      </c>
      <c r="J6" s="8" t="s">
        <v>168</v>
      </c>
      <c r="K6" s="8" t="s">
        <v>169</v>
      </c>
      <c r="L6" s="13" t="s">
        <v>152</v>
      </c>
      <c r="M6" s="8" t="s">
        <v>170</v>
      </c>
    </row>
    <row r="7" customFormat="false" ht="23.85" hidden="false" customHeight="false" outlineLevel="0" collapsed="false">
      <c r="A7" s="11" t="s">
        <v>171</v>
      </c>
      <c r="B7" s="8" t="s">
        <v>172</v>
      </c>
      <c r="C7" s="8" t="s">
        <v>173</v>
      </c>
      <c r="D7" s="8" t="s">
        <v>174</v>
      </c>
      <c r="E7" s="8" t="s">
        <v>175</v>
      </c>
      <c r="F7" s="8" t="s">
        <v>158</v>
      </c>
      <c r="G7" s="8" t="s">
        <v>137</v>
      </c>
      <c r="H7" s="8" t="s">
        <v>137</v>
      </c>
      <c r="I7" s="8" t="s">
        <v>137</v>
      </c>
      <c r="J7" s="8" t="s">
        <v>176</v>
      </c>
      <c r="K7" s="8" t="s">
        <v>177</v>
      </c>
      <c r="L7" s="18" t="s">
        <v>178</v>
      </c>
      <c r="M7" s="8" t="s">
        <v>179</v>
      </c>
    </row>
    <row r="8" customFormat="false" ht="23.85" hidden="false" customHeight="false" outlineLevel="0" collapsed="false">
      <c r="A8" s="11" t="s">
        <v>180</v>
      </c>
      <c r="B8" s="8" t="s">
        <v>172</v>
      </c>
      <c r="C8" s="8" t="s">
        <v>146</v>
      </c>
      <c r="D8" s="8" t="s">
        <v>147</v>
      </c>
      <c r="E8" s="8" t="s">
        <v>175</v>
      </c>
      <c r="F8" s="8" t="s">
        <v>158</v>
      </c>
      <c r="G8" s="8" t="s">
        <v>137</v>
      </c>
      <c r="H8" s="8" t="s">
        <v>137</v>
      </c>
      <c r="I8" s="8" t="s">
        <v>137</v>
      </c>
      <c r="J8" s="8" t="s">
        <v>181</v>
      </c>
      <c r="K8" s="8" t="s">
        <v>182</v>
      </c>
      <c r="L8" s="18" t="s">
        <v>178</v>
      </c>
      <c r="M8" s="8" t="s">
        <v>183</v>
      </c>
    </row>
    <row r="10" customFormat="false" ht="15" hidden="false" customHeight="false" outlineLevel="0" collapsed="false">
      <c r="A10" s="4" t="s">
        <v>184</v>
      </c>
      <c r="B10" s="4" t="n">
        <f aca="false">COUNTIFS($E$3:$E$8,"OPEN")+COUNTIFS($E$3:$E$8,"Open*proceeding")</f>
        <v>4</v>
      </c>
    </row>
    <row r="11" customFormat="false" ht="15" hidden="false" customHeight="false" outlineLevel="0" collapsed="false">
      <c r="A11" s="4" t="s">
        <v>185</v>
      </c>
      <c r="B11" s="4" t="n">
        <f aca="false">COUNTIFS($H$3:$H$8,"Yes*")</f>
        <v>3</v>
      </c>
    </row>
    <row r="12" customFormat="false" ht="15" hidden="false" customHeight="false" outlineLevel="0" collapsed="false">
      <c r="A12" s="4" t="s">
        <v>186</v>
      </c>
      <c r="B12" s="4" t="n">
        <f aca="false">COUNTIFS($I$3:$I$8,"Yes*")</f>
        <v>2</v>
      </c>
    </row>
    <row r="13" customFormat="false" ht="15" hidden="false" customHeight="false" outlineLevel="0" collapsed="false">
      <c r="A13" s="4" t="s">
        <v>187</v>
      </c>
      <c r="B13" s="4" t="n">
        <f aca="false">COUNTIFS($E$3:$E$8,"Proposed*")</f>
        <v>2</v>
      </c>
    </row>
    <row r="14" customFormat="false" ht="15" hidden="false" customHeight="false" outlineLevel="0" collapsed="false">
      <c r="A14" s="4" t="s">
        <v>188</v>
      </c>
      <c r="B14" s="4" t="n">
        <f aca="false">COUNTIFS($G$3:$G$8,"Yes")</f>
        <v>0</v>
      </c>
    </row>
    <row r="16" customFormat="false" ht="15" hidden="false" customHeight="false" outlineLevel="0" collapsed="false">
      <c r="A16" s="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4" t="s">
        <v>190</v>
      </c>
    </row>
    <row r="2" customFormat="false" ht="15" hidden="false" customHeight="false" outlineLevel="0" collapsed="false">
      <c r="A2" s="7" t="s">
        <v>40</v>
      </c>
      <c r="B2" s="7" t="s">
        <v>191</v>
      </c>
      <c r="C2" s="7" t="s">
        <v>46</v>
      </c>
      <c r="D2" s="7" t="s">
        <v>47</v>
      </c>
    </row>
    <row r="3" customFormat="false" ht="15" hidden="false" customHeight="false" outlineLevel="0" collapsed="false">
      <c r="A3" s="3" t="n">
        <v>1</v>
      </c>
      <c r="B3" s="5" t="s">
        <v>192</v>
      </c>
    </row>
    <row r="4" customFormat="false" ht="15" hidden="false" customHeight="false" outlineLevel="0" collapsed="false">
      <c r="A4" s="3" t="n">
        <v>2</v>
      </c>
      <c r="B4" s="5" t="s">
        <v>66</v>
      </c>
    </row>
    <row r="5" customFormat="false" ht="15" hidden="false" customHeight="false" outlineLevel="0" collapsed="false">
      <c r="A5" s="3" t="n">
        <v>3</v>
      </c>
      <c r="B5" s="5" t="s">
        <v>193</v>
      </c>
    </row>
    <row r="6" customFormat="false" ht="15" hidden="false" customHeight="false" outlineLevel="0" collapsed="false">
      <c r="A6" s="3" t="n">
        <v>4</v>
      </c>
      <c r="B6" s="5" t="s">
        <v>194</v>
      </c>
    </row>
    <row r="7" customFormat="false" ht="15" hidden="false" customHeight="false" outlineLevel="0" collapsed="false">
      <c r="A7" s="3" t="n">
        <v>20</v>
      </c>
      <c r="B7" s="5" t="s">
        <v>195</v>
      </c>
    </row>
    <row r="8" customFormat="false" ht="15" hidden="false" customHeight="false" outlineLevel="0" collapsed="false">
      <c r="A8" s="3" t="n">
        <v>21</v>
      </c>
      <c r="B8" s="5" t="s">
        <v>196</v>
      </c>
    </row>
    <row r="9" customFormat="false" ht="35.05" hidden="false" customHeight="false" outlineLevel="0" collapsed="false">
      <c r="A9" s="3" t="n">
        <v>22</v>
      </c>
      <c r="B9" s="19" t="s">
        <v>69</v>
      </c>
      <c r="C9" s="20" t="s">
        <v>70</v>
      </c>
      <c r="D9" s="5" t="s">
        <v>197</v>
      </c>
    </row>
    <row r="10" customFormat="false" ht="15" hidden="false" customHeight="false" outlineLevel="0" collapsed="false">
      <c r="A10" s="3" t="n">
        <v>23</v>
      </c>
      <c r="B10" s="5" t="s">
        <v>140</v>
      </c>
      <c r="D10" s="3" t="s">
        <v>198</v>
      </c>
    </row>
    <row r="11" customFormat="false" ht="15" hidden="false" customHeight="false" outlineLevel="0" collapsed="false">
      <c r="A11" s="3" t="n">
        <v>24</v>
      </c>
      <c r="B11" s="5" t="s">
        <v>150</v>
      </c>
      <c r="D11" s="3" t="s">
        <v>198</v>
      </c>
    </row>
    <row r="12" customFormat="false" ht="15" hidden="false" customHeight="false" outlineLevel="0" collapsed="false">
      <c r="A12" s="3" t="n">
        <v>25</v>
      </c>
      <c r="B12" s="5" t="s">
        <v>160</v>
      </c>
      <c r="D12" s="3" t="s">
        <v>198</v>
      </c>
    </row>
    <row r="14" customFormat="false" ht="15" hidden="false" customHeight="false" outlineLevel="0" collapsed="false">
      <c r="A14" s="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4" t="s">
        <v>200</v>
      </c>
    </row>
    <row r="2" customFormat="false" ht="26.85" hidden="false" customHeight="false" outlineLevel="0" collapsed="false">
      <c r="A2" s="7" t="s">
        <v>201</v>
      </c>
      <c r="B2" s="7" t="s">
        <v>202</v>
      </c>
      <c r="C2" s="7" t="s">
        <v>203</v>
      </c>
      <c r="D2" s="7" t="s">
        <v>204</v>
      </c>
      <c r="E2" s="7" t="s">
        <v>205</v>
      </c>
      <c r="F2" s="7" t="s">
        <v>206</v>
      </c>
      <c r="G2" s="7" t="s">
        <v>207</v>
      </c>
      <c r="H2" s="7" t="s">
        <v>208</v>
      </c>
    </row>
    <row r="3" customFormat="false" ht="23.85" hidden="false" customHeight="false" outlineLevel="0" collapsed="false">
      <c r="A3" s="8" t="s">
        <v>209</v>
      </c>
      <c r="B3" s="8" t="s">
        <v>210</v>
      </c>
      <c r="C3" s="8" t="s">
        <v>211</v>
      </c>
      <c r="D3" s="8" t="s">
        <v>212</v>
      </c>
      <c r="E3" s="8" t="s">
        <v>213</v>
      </c>
      <c r="F3" s="8" t="s">
        <v>214</v>
      </c>
      <c r="G3" s="8" t="s">
        <v>26</v>
      </c>
      <c r="H3" s="8" t="s">
        <v>215</v>
      </c>
    </row>
    <row r="4" customFormat="false" ht="23.85" hidden="false" customHeight="false" outlineLevel="0" collapsed="false">
      <c r="A4" s="8" t="s">
        <v>216</v>
      </c>
      <c r="B4" s="8" t="s">
        <v>217</v>
      </c>
      <c r="C4" s="8" t="s">
        <v>218</v>
      </c>
      <c r="D4" s="8" t="s">
        <v>219</v>
      </c>
      <c r="E4" s="8" t="s">
        <v>220</v>
      </c>
      <c r="F4" s="8" t="s">
        <v>221</v>
      </c>
      <c r="G4" s="8" t="s">
        <v>26</v>
      </c>
      <c r="H4" s="8" t="s">
        <v>222</v>
      </c>
    </row>
    <row r="5" customFormat="false" ht="23.85" hidden="false" customHeight="false" outlineLevel="0" collapsed="false">
      <c r="A5" s="8" t="s">
        <v>223</v>
      </c>
      <c r="B5" s="8" t="s">
        <v>224</v>
      </c>
      <c r="C5" s="8" t="s">
        <v>225</v>
      </c>
      <c r="D5" s="8" t="s">
        <v>226</v>
      </c>
      <c r="E5" s="8" t="s">
        <v>227</v>
      </c>
      <c r="F5" s="8" t="s">
        <v>228</v>
      </c>
      <c r="G5" s="8" t="s">
        <v>32</v>
      </c>
      <c r="H5" s="8" t="s">
        <v>229</v>
      </c>
    </row>
    <row r="6" customFormat="false" ht="23.85" hidden="false" customHeight="false" outlineLevel="0" collapsed="false">
      <c r="A6" s="8" t="s">
        <v>230</v>
      </c>
      <c r="B6" s="8" t="s">
        <v>231</v>
      </c>
      <c r="C6" s="8" t="s">
        <v>232</v>
      </c>
      <c r="D6" s="8" t="s">
        <v>233</v>
      </c>
      <c r="E6" s="8" t="s">
        <v>234</v>
      </c>
      <c r="F6" s="8" t="s">
        <v>235</v>
      </c>
      <c r="G6" s="8" t="s">
        <v>32</v>
      </c>
      <c r="H6" s="8" t="s">
        <v>236</v>
      </c>
    </row>
    <row r="7" customFormat="false" ht="23.85" hidden="false" customHeight="false" outlineLevel="0" collapsed="false">
      <c r="A7" s="8" t="s">
        <v>237</v>
      </c>
      <c r="B7" s="8" t="s">
        <v>238</v>
      </c>
      <c r="C7" s="8" t="s">
        <v>239</v>
      </c>
      <c r="D7" s="8" t="s">
        <v>240</v>
      </c>
      <c r="E7" s="8" t="s">
        <v>241</v>
      </c>
      <c r="F7" s="8" t="s">
        <v>242</v>
      </c>
      <c r="G7" s="8" t="s">
        <v>32</v>
      </c>
      <c r="H7" s="8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4" t="s">
        <v>244</v>
      </c>
    </row>
    <row r="2" customFormat="false" ht="26.85" hidden="false" customHeight="false" outlineLevel="0" collapsed="false">
      <c r="A2" s="7" t="s">
        <v>131</v>
      </c>
      <c r="B2" s="7" t="s">
        <v>40</v>
      </c>
      <c r="C2" s="7" t="s">
        <v>245</v>
      </c>
      <c r="D2" s="7" t="s">
        <v>246</v>
      </c>
      <c r="E2" s="7" t="s">
        <v>247</v>
      </c>
      <c r="F2" s="7" t="s">
        <v>248</v>
      </c>
      <c r="G2" s="7" t="s">
        <v>249</v>
      </c>
    </row>
    <row r="3" customFormat="false" ht="23.85" hidden="false" customHeight="false" outlineLevel="0" collapsed="false">
      <c r="A3" s="8" t="s">
        <v>92</v>
      </c>
      <c r="B3" s="8" t="n">
        <v>42</v>
      </c>
      <c r="C3" s="8" t="s">
        <v>250</v>
      </c>
      <c r="D3" s="8" t="s">
        <v>251</v>
      </c>
      <c r="E3" s="8" t="s">
        <v>252</v>
      </c>
      <c r="F3" s="16" t="s">
        <v>253</v>
      </c>
      <c r="G3" s="8" t="s">
        <v>254</v>
      </c>
    </row>
    <row r="4" customFormat="false" ht="23.85" hidden="false" customHeight="false" outlineLevel="0" collapsed="false">
      <c r="A4" s="8" t="s">
        <v>92</v>
      </c>
      <c r="B4" s="8" t="n">
        <v>43</v>
      </c>
      <c r="C4" s="8" t="s">
        <v>255</v>
      </c>
      <c r="D4" s="8" t="s">
        <v>256</v>
      </c>
      <c r="E4" s="8" t="s">
        <v>257</v>
      </c>
      <c r="F4" s="16" t="s">
        <v>258</v>
      </c>
      <c r="G4" s="8" t="s">
        <v>259</v>
      </c>
    </row>
    <row r="5" customFormat="false" ht="23.85" hidden="false" customHeight="false" outlineLevel="0" collapsed="false">
      <c r="A5" s="8" t="s">
        <v>92</v>
      </c>
      <c r="B5" s="8" t="n">
        <v>19</v>
      </c>
      <c r="C5" s="8" t="s">
        <v>260</v>
      </c>
      <c r="D5" s="8" t="s">
        <v>261</v>
      </c>
      <c r="E5" s="8" t="s">
        <v>262</v>
      </c>
      <c r="F5" s="16" t="s">
        <v>253</v>
      </c>
      <c r="G5" s="8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2026-10-28T18:18:58Z</dcterms:created>
  <dc:creator>openpyxl</dc:creator>
  <dc:description/>
  <dc:language>en-US</dc:language>
  <cp:lastModifiedBy/>
  <dcterms:modified xsi:type="dcterms:W3CDTF">2026-10-28T18:18:58Z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