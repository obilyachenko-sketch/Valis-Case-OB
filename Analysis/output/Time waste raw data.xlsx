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Workflows" sheetId="2" state="visible" r:id="rId4"/>
    <sheet name="Criticality rubric" sheetId="3" state="visible" r:id="rId5"/>
    <sheet name="Evidence" sheetId="4" state="visible" r:id="rId6"/>
    <sheet name="Tickets (raw)" sheetId="5" state="visible" r:id="rId7"/>
    <sheet name="Missing data"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3" authorId="0">
      <text>
        <r>
          <rPr>
            <sz val="10"/>
            <rFont val="Arial"/>
            <family val="2"/>
          </rPr>
          <t xml:space="preserve">Assumption: an 8-hour working day. Bounds use 6–8 h/day and 2.5–3.5 days.</t>
        </r>
      </text>
    </comment>
    <comment ref="K4" authorId="0">
      <text>
        <r>
          <rPr>
            <sz val="10"/>
            <rFont val="Arial"/>
            <family val="2"/>
          </rPr>
          <t xml:space="preserve">High = 2× logged, in case tickets miss off-ticket effort (not measured).</t>
        </r>
      </text>
    </comment>
    <comment ref="K5" authorId="0">
      <text>
        <r>
          <rPr>
            <sz val="10"/>
            <rFont val="Arial"/>
            <family val="2"/>
          </rPr>
          <t xml:space="preserve">High = 2× logged, in case tickets miss off-ticket effort (not measured).</t>
        </r>
      </text>
    </comment>
    <comment ref="K6" authorId="0">
      <text>
        <r>
          <rPr>
            <sz val="10"/>
            <rFont val="Arial"/>
            <family val="2"/>
          </rPr>
          <t xml:space="preserve">High = 2× logged, in case tickets miss off-ticket effort (not measured).</t>
        </r>
      </text>
    </comment>
    <comment ref="K7" authorId="0">
      <text>
        <r>
          <rPr>
            <sz val="10"/>
            <rFont val="Arial"/>
            <family val="2"/>
          </rPr>
          <t xml:space="preserve">High = 2× logged, in case tickets miss off-ticket effort (not measured).</t>
        </r>
      </text>
    </comment>
  </commentList>
</comments>
</file>

<file path=xl/sharedStrings.xml><?xml version="1.0" encoding="utf-8"?>
<sst xmlns="http://schemas.openxmlformats.org/spreadsheetml/2006/main" count="1181" uniqueCount="595">
  <si>
    <t xml:space="preserve">Where is Northwind wasting the most time — and what to automate first?</t>
  </si>
  <si>
    <t xml:space="preserve">Live view of the 'Workflows' tab, ordered by priority rank (criticality first, hours as tiebreaker). Scope: Q1 2026 tickets; Slack/notes Apr 21 – Jun 17, 2026.</t>
  </si>
  <si>
    <t xml:space="preserve">Rank</t>
  </si>
  <si>
    <t xml:space="preserve">Workflow</t>
  </si>
  <si>
    <t xml:space="preserve">Hours / qtr</t>
  </si>
  <si>
    <t xml:space="preserve">Low</t>
  </si>
  <si>
    <t xml:space="preserve">High</t>
  </si>
  <si>
    <t xml:space="preserve">Criticality (of 15)</t>
  </si>
  <si>
    <t xml:space="preserve">Measured or claimed</t>
  </si>
  <si>
    <t xml:space="preserve">Automatable?</t>
  </si>
  <si>
    <t xml:space="preserve">Answer</t>
  </si>
  <si>
    <t xml:space="preserve">Two workflows tie on hours: brand-deal revenue reconciliation (~72 h/qtr, claimed; bounds 45–84) and creator support (70.5 h/qtr, measured). Automate the reconciliation first: it scores 15/15 on criticality — 80% of revenue, board-level numbers, every month-end close, one person, and getting worse with volume.</t>
  </si>
  <si>
    <t xml:space="preserve">Catch: none of its three inputs (CRM export, invoicing sheet, payout tracker) is in the bundle — see 'Missing data'. Scope is in Analysis/automation/RECON_SCOPE.md. The support automation (tax forms + thumbnails) is what runs on this data today.</t>
  </si>
  <si>
    <t xml:space="preserve">Confidence: Medium on the ranking (recon time is self-reported); High that W1 and support are the two largest — nothing else has a time figure.</t>
  </si>
  <si>
    <t xml:space="preserve">Colour key — Workflows: green = measured, amber = claimed, grey = not quantified, red = data to build it is missing. Blue numbers are inputs.</t>
  </si>
  <si>
    <t xml:space="preserve">Every workflow the bundle shows manual effort piling up on. Blue = typed input with source; black = formula. Criticality reasons are in the 'why' columns; definitions on 'Criticality rubric'.</t>
  </si>
  <si>
    <t xml:space="preserve">ID</t>
  </si>
  <si>
    <t xml:space="preserve">Function</t>
  </si>
  <si>
    <t xml:space="preserve">Who does it</t>
  </si>
  <si>
    <t xml:space="preserve">Time basis</t>
  </si>
  <si>
    <t xml:space="preserve">Qty</t>
  </si>
  <si>
    <t xml:space="preserve">Unit</t>
  </si>
  <si>
    <t xml:space="preserve">Hours/day (assump.)</t>
  </si>
  <si>
    <t xml:space="preserve">Hours / quarter</t>
  </si>
  <si>
    <t xml:space="preserve">Low h/qtr</t>
  </si>
  <si>
    <t xml:space="preserve">High h/qtr</t>
  </si>
  <si>
    <t xml:space="preserve"># sources</t>
  </si>
  <si>
    <t xml:space="preserve">Money exposure</t>
  </si>
  <si>
    <t xml:space="preserve">Trust in the numbers</t>
  </si>
  <si>
    <t xml:space="preserve">Deadline pressure</t>
  </si>
  <si>
    <t xml:space="preserve">Key-person risk</t>
  </si>
  <si>
    <t xml:space="preserve">Growth</t>
  </si>
  <si>
    <t xml:space="preserve">Data in bundle to build it?</t>
  </si>
  <si>
    <t xml:space="preserve">Sort key</t>
  </si>
  <si>
    <t xml:space="preserve">Priority rank</t>
  </si>
  <si>
    <t xml:space="preserve">Why: Money exposure</t>
  </si>
  <si>
    <t xml:space="preserve">Why: Trust in the numbers</t>
  </si>
  <si>
    <t xml:space="preserve">Why: Deadline pressure</t>
  </si>
  <si>
    <t xml:space="preserve">Why: Key-person risk</t>
  </si>
  <si>
    <t xml:space="preserve">Why: Growth</t>
  </si>
  <si>
    <t xml:space="preserve">W1</t>
  </si>
  <si>
    <t xml:space="preserve">Finance</t>
  </si>
  <si>
    <t xml:space="preserve">Brand-deal revenue reconciliation (CRM ↔ invoicing ↔ payout tracker)</t>
  </si>
  <si>
    <t xml:space="preserve">Maya Fortin (Finance Analyst)</t>
  </si>
  <si>
    <t xml:space="preserve">'~3 full days' per month-end (slack L108, L158; finance_review L11)</t>
  </si>
  <si>
    <t xml:space="preserve">days/month</t>
  </si>
  <si>
    <t xml:space="preserve">Claimed — same '~3 days' in Slack, finance review and leadership minutes</t>
  </si>
  <si>
    <t xml:space="preserve">Yes — 3-way match</t>
  </si>
  <si>
    <t xml:space="preserve">No — none of the 3 exports is in the bundle</t>
  </si>
  <si>
    <t xml:space="preserve">Brand partnerships = $4.2M of $5.25M revenue (80%) — pnl L2, L5</t>
  </si>
  <si>
    <t xml:space="preserve">Revenue figures for the board 'never tie out first pass' — finance_review L12; slack L114</t>
  </si>
  <si>
    <t xml:space="preserve">Every month-end close — slack L108, L158; finance_review L11</t>
  </si>
  <si>
    <t xml:space="preserve">Only Maya does it — slack L94, L108</t>
  </si>
  <si>
    <t xml:space="preserve">'only going to get worse as brand-partnership volume grows' — finance_review L13</t>
  </si>
  <si>
    <t xml:space="preserve">W2</t>
  </si>
  <si>
    <t xml:space="preserve">Ops / support</t>
  </si>
  <si>
    <t xml:space="preserve">Tax-form chasing (W-9 / W-8)</t>
  </si>
  <si>
    <t xml:space="preserve">Ops Support (Liam Doyle's team)</t>
  </si>
  <si>
    <t xml:space="preserve">Sum of Handle_Minutes, Q1 tickets (Tax form (W-9/W-8))</t>
  </si>
  <si>
    <t xml:space="preserve">Measured (ticket log)</t>
  </si>
  <si>
    <t xml:space="preserve">Yes — e-sign + reminders</t>
  </si>
  <si>
    <t xml:space="preserve">Yes — tickets</t>
  </si>
  <si>
    <t xml:space="preserve">Tied to creator onboarding/payouts — slack L171 (link to payout eligibility not stated in data)</t>
  </si>
  <si>
    <t xml:space="preserve">Doesn't feed leadership numbers</t>
  </si>
  <si>
    <t xml:space="preserve">Recurs with onboarding and 'tax form season' — slack L201</t>
  </si>
  <si>
    <t xml:space="preserve">Ops Support team — tickets Assigned_To</t>
  </si>
  <si>
    <t xml:space="preserve">Grows with new creators, incl. international (W-8) — slack L171, L201</t>
  </si>
  <si>
    <t xml:space="preserve">W3</t>
  </si>
  <si>
    <t xml:space="preserve">Ops / support + Content</t>
  </si>
  <si>
    <t xml:space="preserve">Thumbnail re-uploads after publish</t>
  </si>
  <si>
    <t xml:space="preserve">Ops Support + Post-production</t>
  </si>
  <si>
    <t xml:space="preserve">Sum of Handle_Minutes, Q1 tickets (Thumbnail re-upload)</t>
  </si>
  <si>
    <t xml:space="preserve">Yes — self-serve swap</t>
  </si>
  <si>
    <t xml:space="preserve">'Low dollar value per ticket' — slack L196</t>
  </si>
  <si>
    <t xml:space="preserve">Ad hoc, creator-initiated — slack L165</t>
  </si>
  <si>
    <t xml:space="preserve">Shared between Ops and Post — slack L165, L168</t>
  </si>
  <si>
    <t xml:space="preserve">'piling up', '#47 this week' — slack L165, L193</t>
  </si>
  <si>
    <t xml:space="preserve">W4</t>
  </si>
  <si>
    <t xml:space="preserve">Payout questions ('where's my payout')</t>
  </si>
  <si>
    <t xml:space="preserve">Ops Support</t>
  </si>
  <si>
    <t xml:space="preserve">Sum of Handle_Minutes, Q1 tickets (Payout question)</t>
  </si>
  <si>
    <t xml:space="preserve">Partly — needs payout tracker</t>
  </si>
  <si>
    <t xml:space="preserve">Partly — tickets yes, payout tracker no</t>
  </si>
  <si>
    <t xml:space="preserve">Creator payouts; processing fees $31k/qtr — pnl L34</t>
  </si>
  <si>
    <t xml:space="preserve">Payout tracker is one of the 3 sources that drift — slack L100</t>
  </si>
  <si>
    <t xml:space="preserve">Ad hoc</t>
  </si>
  <si>
    <t xml:space="preserve">Ops Support team</t>
  </si>
  <si>
    <t xml:space="preserve">Grows with creators — slack L176</t>
  </si>
  <si>
    <t xml:space="preserve">W5</t>
  </si>
  <si>
    <t xml:space="preserve">Other support (login, account access, takedowns)</t>
  </si>
  <si>
    <t xml:space="preserve">Sum of Handle_Minutes, Q1 tickets (Login issue, Account access, Content takedown)</t>
  </si>
  <si>
    <t xml:space="preserve">No — security / legal judgment</t>
  </si>
  <si>
    <t xml:space="preserve">Small</t>
  </si>
  <si>
    <t xml:space="preserve">No</t>
  </si>
  <si>
    <t xml:space="preserve">Team</t>
  </si>
  <si>
    <t xml:space="preserve">Flat (Q1 data)</t>
  </si>
  <si>
    <t xml:space="preserve">W6</t>
  </si>
  <si>
    <t xml:space="preserve">Data + Finance</t>
  </si>
  <si>
    <t xml:space="preserve">Reconciling the 'active creators' number (1,210 vs 1,840) for decks</t>
  </si>
  <si>
    <t xml:space="preserve">Ben Okoro, Maya Fortin, Priya Raman</t>
  </si>
  <si>
    <t xml:space="preserve">No time figure anywhere in the bundle</t>
  </si>
  <si>
    <t xml:space="preserve">Not quantified</t>
  </si>
  <si>
    <t xml:space="preserve">No — a definition decision, not automation</t>
  </si>
  <si>
    <t xml:space="preserve">Yes — but it's a decision</t>
  </si>
  <si>
    <t xml:space="preserve">Per-creator economics for the board built on it — finance_review L18</t>
  </si>
  <si>
    <t xml:space="preserve">Two numbers in board materials — data_review L18; slack L56</t>
  </si>
  <si>
    <t xml:space="preserve">Board update deadline — data_review L41; leadership L31</t>
  </si>
  <si>
    <t xml:space="preserve">Ben + Maya/Priya — leadership L31</t>
  </si>
  <si>
    <t xml:space="preserve">Flat</t>
  </si>
  <si>
    <t xml:space="preserve">W7</t>
  </si>
  <si>
    <t xml:space="preserve">Content</t>
  </si>
  <si>
    <t xml:space="preserve">Post-production bottleneck (editing, re-exports)</t>
  </si>
  <si>
    <t xml:space="preserve">Yuki Tanaka's post team</t>
  </si>
  <si>
    <t xml:space="preserve">Partly</t>
  </si>
  <si>
    <t xml:space="preserve">No — no throughput data</t>
  </si>
  <si>
    <t xml:space="preserve">Contractor/freelance production $410k/qtr — pnl L8 (link to bottleneck not stated)</t>
  </si>
  <si>
    <t xml:space="preserve">Show schedules — slack L34</t>
  </si>
  <si>
    <t xml:space="preserve">Post team</t>
  </si>
  <si>
    <t xml:space="preserve">Wants another editor — slack L250</t>
  </si>
  <si>
    <t xml:space="preserve">W8</t>
  </si>
  <si>
    <t xml:space="preserve">Vendor / SaaS hygiene (renewal calendar, Salesforce check, EUR, Amplitude invoice)</t>
  </si>
  <si>
    <t xml:space="preserve">Maya Fortin</t>
  </si>
  <si>
    <t xml:space="preserve">Yes — vendor calendar + checks</t>
  </si>
  <si>
    <t xml:space="preserve">Partly — P&amp;L only, no invoices</t>
  </si>
  <si>
    <t xml:space="preserve">SaaS $81k/qtr; $7.5k possible duplicate — pnl L24, L12–L13</t>
  </si>
  <si>
    <t xml:space="preserve">SaaS line went to the board cut — slack L42, L45</t>
  </si>
  <si>
    <t xml:space="preserve">Renewals 'inside the next two quarters' — finance_review L24</t>
  </si>
  <si>
    <t xml:space="preserve">All on Maya — finance_review L36–L39</t>
  </si>
  <si>
    <t xml:space="preserve">Totals (quantified workflows)</t>
  </si>
  <si>
    <t xml:space="preserve">Business criticality — five dimensions, each scored 1–3 (max 15). Every score on 'Workflows' cites its reason.</t>
  </si>
  <si>
    <t xml:space="preserve">Dimension</t>
  </si>
  <si>
    <t xml:space="preserve">Question</t>
  </si>
  <si>
    <t xml:space="preserve">1</t>
  </si>
  <si>
    <t xml:space="preserve">2</t>
  </si>
  <si>
    <t xml:space="preserve">3</t>
  </si>
  <si>
    <t xml:space="preserve">How much revenue or spend flows through it</t>
  </si>
  <si>
    <t xml:space="preserve">1 = little / indirect</t>
  </si>
  <si>
    <t xml:space="preserve">2 = creator payouts, cost lines, per-creator economics</t>
  </si>
  <si>
    <t xml:space="preserve">3 = core revenue (brand partnerships)</t>
  </si>
  <si>
    <t xml:space="preserve">Do errors reach leadership / board numbers?</t>
  </si>
  <si>
    <t xml:space="preserve">1 = no</t>
  </si>
  <si>
    <t xml:space="preserve">2 = internal reporting</t>
  </si>
  <si>
    <t xml:space="preserve">3 = board-level figures</t>
  </si>
  <si>
    <t xml:space="preserve">Is it on a hard, recurring deadline?</t>
  </si>
  <si>
    <t xml:space="preserve">1 = ad hoc</t>
  </si>
  <si>
    <t xml:space="preserve">2 = recurring, soft deadline</t>
  </si>
  <si>
    <t xml:space="preserve">3 = month-end close / board</t>
  </si>
  <si>
    <t xml:space="preserve">Does it depend on one person?</t>
  </si>
  <si>
    <t xml:space="preserve">1 = shared team</t>
  </si>
  <si>
    <t xml:space="preserve">2 = small team</t>
  </si>
  <si>
    <t xml:space="preserve">3 = one named person</t>
  </si>
  <si>
    <t xml:space="preserve">Does it get worse as the business grows?</t>
  </si>
  <si>
    <t xml:space="preserve">1 = flat</t>
  </si>
  <si>
    <t xml:space="preserve">2 = grows with creators</t>
  </si>
  <si>
    <t xml:space="preserve">3 = explicitly flagged as getting worse</t>
  </si>
  <si>
    <t xml:space="preserve">Priority rule: rank by criticality score; ties broken by hours per quarter (sort key = score × 1000 + hours). Hours alone would rank W1 and support as a tie.</t>
  </si>
  <si>
    <t xml:space="preserve">Every line used, quoted verbatim from its file. 'Supports' is my one-line reading.</t>
  </si>
  <si>
    <t xml:space="preserve">File</t>
  </si>
  <si>
    <t xml:space="preserve">Line</t>
  </si>
  <si>
    <t xml:space="preserve">Who</t>
  </si>
  <si>
    <t xml:space="preserve">Date</t>
  </si>
  <si>
    <t xml:space="preserve">Raw text (verbatim)</t>
  </si>
  <si>
    <t xml:space="preserve">Supports</t>
  </si>
  <si>
    <t xml:space="preserve">slack_export.md</t>
  </si>
  <si>
    <t xml:space="preserve">Already in it. Friendly reminder that the brand-deal revenue recon is the thing that eats my life every month — three sources that never agree on the first pass.</t>
  </si>
  <si>
    <t xml:space="preserve">Recon 'eats my life every month' — three sources never agree first pass</t>
  </si>
  <si>
    <t xml:space="preserve">For the record the three are: the CRM export (what Sales says closed), the invoicing sheet (what we billed), and the payout tracker (what creators actually got paid against deals). They drift every single month.</t>
  </si>
  <si>
    <t xml:space="preserve">Names the 3 sources: CRM export, invoicing sheet, payout tracker; 'drift every single month'</t>
  </si>
  <si>
    <t xml:space="preserve">Closing out April. The brand-deal recon took me basically three full days again. CRM said one set of deals closed, invoicing had a different total, payout tracker had a third. Tied out eventually but it's the same dance every month-end. ~3 days, every time.</t>
  </si>
  <si>
    <t xml:space="preserve">April recon took ~3 full days; 'same dance every month-end'</t>
  </si>
  <si>
    <t xml:space="preserve">Priya Raman</t>
  </si>
  <si>
    <t xml:space="preserve">That's genuinely the biggest recurring time sink in finance right now. Tabling it as something we should fix properly, not band-aid.</t>
  </si>
  <si>
    <t xml:space="preserve">CFO: 'biggest recurring time sink in finance'</t>
  </si>
  <si>
    <t xml:space="preserve">Please. If we automated the three-way match I'd get three days a month back and the numbers would actually be trustworthy on the first pass.</t>
  </si>
  <si>
    <t xml:space="preserve">Automating the 3-way match = 3 days/month back + trustworthy first pass</t>
  </si>
  <si>
    <t xml:space="preserve">May close done. Same brand-deal recon grind — ~3 days. Broken record, I know. Whenever we prioritize automation, that's my vote for #1.</t>
  </si>
  <si>
    <t xml:space="preserve">May close: ~3 days again; Maya's vote for automation #1</t>
  </si>
  <si>
    <t xml:space="preserve">meeting_notes/finance_review_2026-05-28.md</t>
  </si>
  <si>
    <t xml:space="preserve">minutes (Maya Fortin)</t>
  </si>
  <si>
    <t xml:space="preserve">- April close landed on time, but the brand-deal revenue reconciliation was again the long pole. Maya flagged it took ~3 full days this cycle (same as the last few months).</t>
  </si>
  <si>
    <t xml:space="preserve">~3 full days this cycle, same as last few months</t>
  </si>
  <si>
    <t xml:space="preserve">- The recon spans three systems that never agree on the first pass: the **CRM deal export**, the **invoicing sheet**, and the **payout tracker**. Deal amounts, close dates, and payout splits drift between all three, so every month is a manual line-by-line tie-out.</t>
  </si>
  <si>
    <t xml:space="preserve">Amounts, close dates and payout splits drift; manual line-by-line tie-out</t>
  </si>
  <si>
    <t xml:space="preserve">- Priya: this is now the single biggest finance time-sink and it's only going to get worse as brand-partnership volume grows. Flagged as the top candidate for fixing/automating — owner Maya to write up the current manual steps before we scope anything.</t>
  </si>
  <si>
    <t xml:space="preserve">CFO: single biggest finance time-sink; worse as volume grows; top automation candidate</t>
  </si>
  <si>
    <t xml:space="preserve">| 1 | Maya | Document current month-end brand-deal recon steps (CRM export + invoicing sheet + payout tracker) | Before June close |</t>
  </si>
  <si>
    <t xml:space="preserve">Action: Maya documents current recon steps before June close</t>
  </si>
  <si>
    <t xml:space="preserve">meeting_notes/leadership_sync_2026-06-11.md</t>
  </si>
  <si>
    <t xml:space="preserve">minutes (Marcus)</t>
  </si>
  <si>
    <t xml:space="preserve">- Priya raised that month-end brand-deal revenue reconciliation is eating ~3 days of Maya's time every month and never ties out first pass. Flagged as a candidate for the ops/automation review Marcus is running. No decision today.</t>
  </si>
  <si>
    <t xml:space="preserve">Leadership: ~3 days/month, flagged for Marcus's ops/automation review</t>
  </si>
  <si>
    <t xml:space="preserve">pnl_q1_2026.csv</t>
  </si>
  <si>
    <t xml:space="preserve">Revenue,Brand partnerships,4200000,Net of agency commissions</t>
  </si>
  <si>
    <t xml:space="preserve">Brand partnerships revenue $4.2M (Q1)</t>
  </si>
  <si>
    <t xml:space="preserve">Revenue,Total Revenue,5250000,Sum of revenue lines</t>
  </si>
  <si>
    <t xml:space="preserve">Total revenue $5.25M (Q1)</t>
  </si>
  <si>
    <t xml:space="preserve">Liam Doyle</t>
  </si>
  <si>
    <t xml:space="preserve">Adds up though. And tax form chasing is the other one — W-9s and W-8s for new creators, constant follow-up to get them returned.</t>
  </si>
  <si>
    <t xml:space="preserve">Tax-form chasing for new creators, constant follow-up</t>
  </si>
  <si>
    <t xml:space="preserve">Honestly support is drowning. It's easily 40 hrs/week on creator support between the thumbnail swaps, the tax forms, and general "where's my payout" questions. We need help here.</t>
  </si>
  <si>
    <t xml:space="preserve">Ops: 'easily 40 hrs/week' across thumbnails, tax forms, payout questions</t>
  </si>
  <si>
    <t xml:space="preserve">Tax form season again, chasing W-8s from the international creators. Manual every time. Anyone got a tool rec?</t>
  </si>
  <si>
    <t xml:space="preserve">'Tax form season again'; W-8 chasing; manual; asks for a tool</t>
  </si>
  <si>
    <t xml:space="preserve">Elena Novak</t>
  </si>
  <si>
    <t xml:space="preserve">There are e-sign + tax form services. Cheap. Let's revisit in Q3 planning.</t>
  </si>
  <si>
    <t xml:space="preserve">People: e-sign + tax form services are 'cheap'; revisit Q3</t>
  </si>
  <si>
    <t xml:space="preserve">Ops standup notes: thumbnail re-upload requests are piling up again. Creators want swaps after publish and it's all manual through the CMS. Volume is high.</t>
  </si>
  <si>
    <t xml:space="preserve">Thumbnail swaps piling up; all manual through the CMS</t>
  </si>
  <si>
    <t xml:space="preserve">Yuki Tanaka</t>
  </si>
  <si>
    <t xml:space="preserve">Post team feels it too. Every swap is a manual re-export and re-upload. Annoying but each one's only a few minutes.</t>
  </si>
  <si>
    <t xml:space="preserve">Post: each swap is a manual re-export, 'only a few minutes' (log says ~22 min)</t>
  </si>
  <si>
    <t xml:space="preserve">Thumbnail swap request #47 this week. I'm not exaggerating about the volume. If we automated self-serve thumbnail replacement half my tickets would vanish.</t>
  </si>
  <si>
    <t xml:space="preserve">'#47 this week'; self-serve would make 'half my tickets' vanish</t>
  </si>
  <si>
    <t xml:space="preserve">Worth scoping. Low dollar value per ticket but high annoyance.</t>
  </si>
  <si>
    <t xml:space="preserve">Content: worth scoping; low $ per ticket, high annoyance</t>
  </si>
  <si>
    <t xml:space="preserve">G&amp;A,Bank &amp; payment processing fees,31000,Creator payouts processing</t>
  </si>
  <si>
    <t xml:space="preserve">Payout processing fees $31k (Q1)</t>
  </si>
  <si>
    <t xml:space="preserve">Ben Okoro</t>
  </si>
  <si>
    <t xml:space="preserve">Heads up: the "active creators" number is going to look different depending on who you ask. Data defines it as posted-in-last-30-days. Finance is using roster-under-contract. They're not the same population and people keep using them interchangeably in decks.</t>
  </si>
  <si>
    <t xml:space="preserve">'Active creators' means different things to Data vs Finance</t>
  </si>
  <si>
    <t xml:space="preserve">We can, but it's a real definitional choice, not a typo. They measure different things. I'd rather you tell me which one you want as the headline than me just picking.</t>
  </si>
  <si>
    <t xml:space="preserve">It's a definitional choice, not a typo</t>
  </si>
  <si>
    <t xml:space="preserve">Quick one for the board cut — when we say "active roster," I'm using 1,840 creators under contract. That's the number Sofia's team gave me for creators we have signed agreements with.</t>
  </si>
  <si>
    <t xml:space="preserve">Finance uses 1,840 under contract as 'active roster'</t>
  </si>
  <si>
    <t xml:space="preserve">Just flagging again — that's not the same as "active." Data's active-creator number (posted at least once in the last 30 days) is 1,210. Different definition, different population. As long as the deck labels which one it is, fine. They keep getting mixed up.</t>
  </si>
  <si>
    <t xml:space="preserve">Data's active = 1,210; keep getting mixed up</t>
  </si>
  <si>
    <t xml:space="preserve">meeting_notes/data_review_2026-05-20.md</t>
  </si>
  <si>
    <t xml:space="preserve">minutes (Ben Okoro)</t>
  </si>
  <si>
    <t xml:space="preserve">&gt; **Data team definition of "active":** a creator who **posted ≥1 time in the last 30 days**.</t>
  </si>
  <si>
    <t xml:space="preserve">Data definition: posted ≥1 in 30 days = 1,210</t>
  </si>
  <si>
    <t xml:space="preserve">Ben flagged that this is *not* the same as the headcount Finance and Talent quote. Finance/Talent talk about "creators under contract" (the signed roster), which is a larger number and counts everyone with an active agreement regardless of whether they posted. The Data dashboard intentionally measures **engagement**, not the contract book.</t>
  </si>
  <si>
    <t xml:space="preserve">Finance/Talent count the signed roster — larger number</t>
  </si>
  <si>
    <t xml:space="preserve">- Dana: wants the two reconciled before the board update — "I don't want to say 1,210 in one slide and a different number in another."</t>
  </si>
  <si>
    <t xml:space="preserve">CEO wants them reconciled before the board update</t>
  </si>
  <si>
    <t xml:space="preserve">- Finance is modeling subscription and management economics against the **active roster of 1,840 creators under contract**. Priya wants the per-creator contribution view built off that 1,840 base for the board deck.</t>
  </si>
  <si>
    <t xml:space="preserve">Finance models per-creator economics on 1,840</t>
  </si>
  <si>
    <t xml:space="preserve">- Dana asked whether 1,840 is the right denominator — Maya to confirm with Data, since marketing/data have been quoting a different engagement-based number. Parked for now; finance continues on 1,840 under contract.</t>
  </si>
  <si>
    <t xml:space="preserve">CEO questions the denominator; parked</t>
  </si>
  <si>
    <t xml:space="preserve">- Recurring confusion on the headline creator number — Ben (Data) reports **1,210 active** (posted ≥1x in last 30 days), Finance reports **1,840 under contract**. Two different definitions, not reconciled.</t>
  </si>
  <si>
    <t xml:space="preserve">Recurring confusion: 1,210 vs 1,840, not reconciled</t>
  </si>
  <si>
    <t xml:space="preserve">- Dana: pick ONE headline definition before the board update. **Action: Priya + Ben to agree a single definition and label, by next sync.**</t>
  </si>
  <si>
    <t xml:space="preserve">Action: pick one definition before the board update</t>
  </si>
  <si>
    <t xml:space="preserve">Production throughput was strong in Q1 — most shows shipped on schedule. The bottleneck is post, not shooting. Flagging for the ops conversation.</t>
  </si>
  <si>
    <t xml:space="preserve">Bottleneck is post, not shooting</t>
  </si>
  <si>
    <t xml:space="preserve">Post production could use another editor — that's the real bottleneck, not shooting. Will submit.</t>
  </si>
  <si>
    <t xml:space="preserve">Post needs another editor — the real bottleneck</t>
  </si>
  <si>
    <t xml:space="preserve">Personnel,Contractor / freelance production,410000,Variable production crews</t>
  </si>
  <si>
    <t xml:space="preserve">Contractor / freelance production $410k (Q1)</t>
  </si>
  <si>
    <t xml:space="preserve">On it. I'll circulate the Software &amp; SaaS breakdown separately — there are a couple of line items I want a second set of eyes on.</t>
  </si>
  <si>
    <t xml:space="preserve">CFO wants a second pair of eyes on SaaS line items</t>
  </si>
  <si>
    <t xml:space="preserve">One thing on the SaaS tab — we've got both an "Amplitude" line and an "Amplitude Analytics" line, each at $7.5k. I'm 90% sure that's the same product entered twice but I haven't confirmed against the invoice. Leaving both in for now and flagging it.</t>
  </si>
  <si>
    <t xml:space="preserve">Amplitude listed twice — unconfirmed</t>
  </si>
  <si>
    <t xml:space="preserve">Added to my list. Haven't gotten the invoice back yet so I'm leaving the CSV as-is until I can confirm.</t>
  </si>
  <si>
    <t xml:space="preserve">Invoice still not back; CSV left as-is</t>
  </si>
  <si>
    <t xml:space="preserve">- **Salesforce renewal closed** — locked at **$60k for the year**. Priya confirmed signed. Maya to make sure the SaaS line picks this up cleanly (the current quarterly P&amp;L figure looks higher than a $60k annual would imply — Maya to check the invoice/contract against what's posted before we call it reconciled).</t>
  </si>
  <si>
    <t xml:space="preserve">Salesforce: check posted vs $60k contract</t>
  </si>
  <si>
    <t xml:space="preserve">- HubSpot, Looker, Amplitude renewals all auto-renew dates inside the next two quarters — Maya to pull a vendor calendar so we stop getting surprised.</t>
  </si>
  <si>
    <t xml:space="preserve">Renewals auto-renew within two quarters; build a vendor calendar</t>
  </si>
  <si>
    <t xml:space="preserve">- General reminder: a couple of EU-billed tools come through in EUR; normalize to USD at month-end FX before they hit the SaaS subtotal.</t>
  </si>
  <si>
    <t xml:space="preserve">EUR tools need normalising before the SaaS subtotal</t>
  </si>
  <si>
    <t xml:space="preserve">| 4 | Maya | Build vendor renewal calendar | June close |</t>
  </si>
  <si>
    <t xml:space="preserve">Action: Maya builds vendor renewal calendar</t>
  </si>
  <si>
    <t xml:space="preserve">ALL</t>
  </si>
  <si>
    <t xml:space="preserve">CEO_CONTEXT.md</t>
  </si>
  <si>
    <t xml:space="preserve">Here's my honest #1 frustration: **I'm drowning in dashboards and status meetings, and I don't fully trust my own numbers.** Every team has its own view of the truth, the same metric means three different things depending on who you ask, and by the time something reaches me it's been summarized so many times I can't tell what's a fact and what's a vibe. I don't want more dashboards. I want someone who can go into the raw stuff, reconcile it, and tell me straight what's actually true — and where it isn't, say so instead of papering over it.</t>
  </si>
  <si>
    <t xml:space="preserve">CEO: drowning in dashboards and status meetings; doesn't trust her numbers</t>
  </si>
  <si>
    <t xml:space="preserve">40 hrs/week is a lot — is that measured or a vibe? Before we ask for a hire I want the actual ticket data.</t>
  </si>
  <si>
    <t xml:space="preserve">People: is 40 h/week measured or a vibe?</t>
  </si>
  <si>
    <t xml:space="preserve">We log support tickets — happy to pull the Q1 numbers if it helps right-size this. I suspect the felt-volume is higher than the measured volume, that's usually how it goes.</t>
  </si>
  <si>
    <t xml:space="preserve">Data expects felt volume &gt; measured volume</t>
  </si>
  <si>
    <t xml:space="preserve">Raw export: support_tickets_q1_2026.csv — all 140 rows, unchanged. Used for the measured support hours.</t>
  </si>
  <si>
    <t xml:space="preserve">Source line</t>
  </si>
  <si>
    <t xml:space="preserve">Ticket_ID</t>
  </si>
  <si>
    <t xml:space="preserve">Category</t>
  </si>
  <si>
    <t xml:space="preserve">Submitted_By</t>
  </si>
  <si>
    <t xml:space="preserve">Assigned_To</t>
  </si>
  <si>
    <t xml:space="preserve">Handle_Minutes</t>
  </si>
  <si>
    <t xml:space="preserve">Status</t>
  </si>
  <si>
    <t xml:space="preserve">TCK-1001</t>
  </si>
  <si>
    <t xml:space="preserve">Thumbnail re-upload</t>
  </si>
  <si>
    <t xml:space="preserve">creator_avaloncreates</t>
  </si>
  <si>
    <t xml:space="preserve">Closed</t>
  </si>
  <si>
    <t xml:space="preserve">TCK-1002</t>
  </si>
  <si>
    <t xml:space="preserve">Tax form (W-9/W-8)</t>
  </si>
  <si>
    <t xml:space="preserve">creator_brightpixel</t>
  </si>
  <si>
    <t xml:space="preserve">TCK-1003</t>
  </si>
  <si>
    <t xml:space="preserve">Login issue</t>
  </si>
  <si>
    <t xml:space="preserve">creator_chartedwaters</t>
  </si>
  <si>
    <t xml:space="preserve">TCK-1004</t>
  </si>
  <si>
    <t xml:space="preserve">creator_dunemotion</t>
  </si>
  <si>
    <t xml:space="preserve">TCK-1005</t>
  </si>
  <si>
    <t xml:space="preserve">Payout question</t>
  </si>
  <si>
    <t xml:space="preserve">creator_emberlite</t>
  </si>
  <si>
    <t xml:space="preserve">TCK-1006</t>
  </si>
  <si>
    <t xml:space="preserve">creator_foxglovestudio</t>
  </si>
  <si>
    <t xml:space="preserve">TCK-1007</t>
  </si>
  <si>
    <t xml:space="preserve">creator_glasscanyon</t>
  </si>
  <si>
    <t xml:space="preserve">TCK-1008</t>
  </si>
  <si>
    <t xml:space="preserve">creator_harborlight</t>
  </si>
  <si>
    <t xml:space="preserve">TCK-1009</t>
  </si>
  <si>
    <t xml:space="preserve">creator_ivoryreef</t>
  </si>
  <si>
    <t xml:space="preserve">TCK-1010</t>
  </si>
  <si>
    <t xml:space="preserve">creator_junipertrail</t>
  </si>
  <si>
    <t xml:space="preserve">TCK-1011</t>
  </si>
  <si>
    <t xml:space="preserve">creator_kelpforest</t>
  </si>
  <si>
    <t xml:space="preserve">TCK-1012</t>
  </si>
  <si>
    <t xml:space="preserve">creator_lanternbay</t>
  </si>
  <si>
    <t xml:space="preserve">TCK-1013</t>
  </si>
  <si>
    <t xml:space="preserve">creator_moonlitpath</t>
  </si>
  <si>
    <t xml:space="preserve">TCK-1014</t>
  </si>
  <si>
    <t xml:space="preserve">creator_northstarvideo</t>
  </si>
  <si>
    <t xml:space="preserve">TCK-1015</t>
  </si>
  <si>
    <t xml:space="preserve">creator_oakhollow</t>
  </si>
  <si>
    <t xml:space="preserve">TCK-1016</t>
  </si>
  <si>
    <t xml:space="preserve">Account access</t>
  </si>
  <si>
    <t xml:space="preserve">creator_pinegrove</t>
  </si>
  <si>
    <t xml:space="preserve">TCK-1017</t>
  </si>
  <si>
    <t xml:space="preserve">creator_quietharbor</t>
  </si>
  <si>
    <t xml:space="preserve">TCK-1018</t>
  </si>
  <si>
    <t xml:space="preserve">creator_riverstone</t>
  </si>
  <si>
    <t xml:space="preserve">TCK-1019</t>
  </si>
  <si>
    <t xml:space="preserve">creator_silvercrest</t>
  </si>
  <si>
    <t xml:space="preserve">TCK-1020</t>
  </si>
  <si>
    <t xml:space="preserve">creator_tidalwave</t>
  </si>
  <si>
    <t xml:space="preserve">TCK-1021</t>
  </si>
  <si>
    <t xml:space="preserve">creator_umberglow</t>
  </si>
  <si>
    <t xml:space="preserve">TCK-1022</t>
  </si>
  <si>
    <t xml:space="preserve">creator_violetdusk</t>
  </si>
  <si>
    <t xml:space="preserve">TCK-1023</t>
  </si>
  <si>
    <t xml:space="preserve">creator_wildfern</t>
  </si>
  <si>
    <t xml:space="preserve">TCK-1024</t>
  </si>
  <si>
    <t xml:space="preserve">creator_xanaduclips</t>
  </si>
  <si>
    <t xml:space="preserve">TCK-1025</t>
  </si>
  <si>
    <t xml:space="preserve">creator_yellowpine</t>
  </si>
  <si>
    <t xml:space="preserve">TCK-1026</t>
  </si>
  <si>
    <t xml:space="preserve">creator_zephyrmedia</t>
  </si>
  <si>
    <t xml:space="preserve">TCK-1027</t>
  </si>
  <si>
    <t xml:space="preserve">creator_amberfield</t>
  </si>
  <si>
    <t xml:space="preserve">TCK-1028</t>
  </si>
  <si>
    <t xml:space="preserve">creator_brookside</t>
  </si>
  <si>
    <t xml:space="preserve">TCK-1029</t>
  </si>
  <si>
    <t xml:space="preserve">creator_cedarpoint</t>
  </si>
  <si>
    <t xml:space="preserve">TCK-1030</t>
  </si>
  <si>
    <t xml:space="preserve">Content takedown</t>
  </si>
  <si>
    <t xml:space="preserve">creator_driftwood</t>
  </si>
  <si>
    <t xml:space="preserve">TCK-1031</t>
  </si>
  <si>
    <t xml:space="preserve">creator_everglade</t>
  </si>
  <si>
    <t xml:space="preserve">TCK-1032</t>
  </si>
  <si>
    <t xml:space="preserve">creator_frostpeak</t>
  </si>
  <si>
    <t xml:space="preserve">TCK-1033</t>
  </si>
  <si>
    <t xml:space="preserve">creator_goldleaf</t>
  </si>
  <si>
    <t xml:space="preserve">TCK-1034</t>
  </si>
  <si>
    <t xml:space="preserve">creator_hazelwood</t>
  </si>
  <si>
    <t xml:space="preserve">TCK-1035</t>
  </si>
  <si>
    <t xml:space="preserve">creator_indigosky</t>
  </si>
  <si>
    <t xml:space="preserve">TCK-1036</t>
  </si>
  <si>
    <t xml:space="preserve">creator_jadecoast</t>
  </si>
  <si>
    <t xml:space="preserve">TCK-1037</t>
  </si>
  <si>
    <t xml:space="preserve">creator_larkspur</t>
  </si>
  <si>
    <t xml:space="preserve">TCK-1038</t>
  </si>
  <si>
    <t xml:space="preserve">creator_mistralwind</t>
  </si>
  <si>
    <t xml:space="preserve">TCK-1039</t>
  </si>
  <si>
    <t xml:space="preserve">creator_nightowl</t>
  </si>
  <si>
    <t xml:space="preserve">TCK-1040</t>
  </si>
  <si>
    <t xml:space="preserve">creator_opalbeach</t>
  </si>
  <si>
    <t xml:space="preserve">TCK-1041</t>
  </si>
  <si>
    <t xml:space="preserve">creator_pebblecreek</t>
  </si>
  <si>
    <t xml:space="preserve">TCK-1042</t>
  </si>
  <si>
    <t xml:space="preserve">creator_quillfeather</t>
  </si>
  <si>
    <t xml:space="preserve">TCK-1043</t>
  </si>
  <si>
    <t xml:space="preserve">creator_redwoodway</t>
  </si>
  <si>
    <t xml:space="preserve">TCK-1044</t>
  </si>
  <si>
    <t xml:space="preserve">creator_sanddollar</t>
  </si>
  <si>
    <t xml:space="preserve">TCK-1045</t>
  </si>
  <si>
    <t xml:space="preserve">creator_thornbush</t>
  </si>
  <si>
    <t xml:space="preserve">TCK-1046</t>
  </si>
  <si>
    <t xml:space="preserve">creator_underbrush</t>
  </si>
  <si>
    <t xml:space="preserve">TCK-1047</t>
  </si>
  <si>
    <t xml:space="preserve">creator_vellichor</t>
  </si>
  <si>
    <t xml:space="preserve">TCK-1048</t>
  </si>
  <si>
    <t xml:space="preserve">creator_windrose</t>
  </si>
  <si>
    <t xml:space="preserve">TCK-1049</t>
  </si>
  <si>
    <t xml:space="preserve">creator_xeriscape</t>
  </si>
  <si>
    <t xml:space="preserve">TCK-1050</t>
  </si>
  <si>
    <t xml:space="preserve">creator_yarrowmeadow</t>
  </si>
  <si>
    <t xml:space="preserve">TCK-1051</t>
  </si>
  <si>
    <t xml:space="preserve">creator_zinniagarden</t>
  </si>
  <si>
    <t xml:space="preserve">TCK-1052</t>
  </si>
  <si>
    <t xml:space="preserve">creator_ashgrove</t>
  </si>
  <si>
    <t xml:space="preserve">TCK-1053</t>
  </si>
  <si>
    <t xml:space="preserve">creator_birchbark</t>
  </si>
  <si>
    <t xml:space="preserve">TCK-1054</t>
  </si>
  <si>
    <t xml:space="preserve">creator_coralcove</t>
  </si>
  <si>
    <t xml:space="preserve">TCK-1055</t>
  </si>
  <si>
    <t xml:space="preserve">creator_dewdrop</t>
  </si>
  <si>
    <t xml:space="preserve">TCK-1056</t>
  </si>
  <si>
    <t xml:space="preserve">creator_elmstreet</t>
  </si>
  <si>
    <t xml:space="preserve">TCK-1057</t>
  </si>
  <si>
    <t xml:space="preserve">creator_fernvalley</t>
  </si>
  <si>
    <t xml:space="preserve">TCK-1058</t>
  </si>
  <si>
    <t xml:space="preserve">creator_gravelpit</t>
  </si>
  <si>
    <t xml:space="preserve">TCK-1059</t>
  </si>
  <si>
    <t xml:space="preserve">creator_hollowtree</t>
  </si>
  <si>
    <t xml:space="preserve">TCK-1060</t>
  </si>
  <si>
    <t xml:space="preserve">creator_islandbreeze</t>
  </si>
  <si>
    <t xml:space="preserve">TCK-1061</t>
  </si>
  <si>
    <t xml:space="preserve">creator_jettystone</t>
  </si>
  <si>
    <t xml:space="preserve">TCK-1062</t>
  </si>
  <si>
    <t xml:space="preserve">creator_kingfisher</t>
  </si>
  <si>
    <t xml:space="preserve">TCK-1063</t>
  </si>
  <si>
    <t xml:space="preserve">creator_lighthouse</t>
  </si>
  <si>
    <t xml:space="preserve">TCK-1064</t>
  </si>
  <si>
    <t xml:space="preserve">creator_maplesyrup</t>
  </si>
  <si>
    <t xml:space="preserve">TCK-1065</t>
  </si>
  <si>
    <t xml:space="preserve">creator_nettlepatch</t>
  </si>
  <si>
    <t xml:space="preserve">TCK-1066</t>
  </si>
  <si>
    <t xml:space="preserve">creator_oysterbay</t>
  </si>
  <si>
    <t xml:space="preserve">TCK-1067</t>
  </si>
  <si>
    <t xml:space="preserve">creator_pondscum</t>
  </si>
  <si>
    <t xml:space="preserve">TCK-1068</t>
  </si>
  <si>
    <t xml:space="preserve">creator_quartzridge</t>
  </si>
  <si>
    <t xml:space="preserve">TCK-1069</t>
  </si>
  <si>
    <t xml:space="preserve">creator_rushreed</t>
  </si>
  <si>
    <t xml:space="preserve">TCK-1070</t>
  </si>
  <si>
    <t xml:space="preserve">creator_seafoam</t>
  </si>
  <si>
    <t xml:space="preserve">TCK-1071</t>
  </si>
  <si>
    <t xml:space="preserve">creator_tumbleweed</t>
  </si>
  <si>
    <t xml:space="preserve">TCK-1072</t>
  </si>
  <si>
    <t xml:space="preserve">creator_underpass</t>
  </si>
  <si>
    <t xml:space="preserve">TCK-1073</t>
  </si>
  <si>
    <t xml:space="preserve">creator_vinetrellis</t>
  </si>
  <si>
    <t xml:space="preserve">TCK-1074</t>
  </si>
  <si>
    <t xml:space="preserve">creator_willowbend</t>
  </si>
  <si>
    <t xml:space="preserve">TCK-1075</t>
  </si>
  <si>
    <t xml:space="preserve">creator_xylophone</t>
  </si>
  <si>
    <t xml:space="preserve">TCK-1076</t>
  </si>
  <si>
    <t xml:space="preserve">creator_yewberry</t>
  </si>
  <si>
    <t xml:space="preserve">TCK-1077</t>
  </si>
  <si>
    <t xml:space="preserve">creator_zephyrhill</t>
  </si>
  <si>
    <t xml:space="preserve">TCK-1078</t>
  </si>
  <si>
    <t xml:space="preserve">creator_alderwood</t>
  </si>
  <si>
    <t xml:space="preserve">TCK-1079</t>
  </si>
  <si>
    <t xml:space="preserve">creator_bramblerose</t>
  </si>
  <si>
    <t xml:space="preserve">TCK-1080</t>
  </si>
  <si>
    <t xml:space="preserve">creator_cloudbank</t>
  </si>
  <si>
    <t xml:space="preserve">TCK-1081</t>
  </si>
  <si>
    <t xml:space="preserve">creator_dappledlight</t>
  </si>
  <si>
    <t xml:space="preserve">TCK-1082</t>
  </si>
  <si>
    <t xml:space="preserve">creator_ebbtide</t>
  </si>
  <si>
    <t xml:space="preserve">TCK-1083</t>
  </si>
  <si>
    <t xml:space="preserve">creator_fallowfield</t>
  </si>
  <si>
    <t xml:space="preserve">TCK-1084</t>
  </si>
  <si>
    <t xml:space="preserve">creator_glimmerpond</t>
  </si>
  <si>
    <t xml:space="preserve">TCK-1085</t>
  </si>
  <si>
    <t xml:space="preserve">creator_heathermoor</t>
  </si>
  <si>
    <t xml:space="preserve">TCK-1086</t>
  </si>
  <si>
    <t xml:space="preserve">creator_ironbark</t>
  </si>
  <si>
    <t xml:space="preserve">TCK-1087</t>
  </si>
  <si>
    <t xml:space="preserve">creator_jasminevine</t>
  </si>
  <si>
    <t xml:space="preserve">TCK-1088</t>
  </si>
  <si>
    <t xml:space="preserve">creator_kettlepond</t>
  </si>
  <si>
    <t xml:space="preserve">TCK-1089</t>
  </si>
  <si>
    <t xml:space="preserve">creator_lilypad</t>
  </si>
  <si>
    <t xml:space="preserve">TCK-1090</t>
  </si>
  <si>
    <t xml:space="preserve">creator_marshland</t>
  </si>
  <si>
    <t xml:space="preserve">TCK-1091</t>
  </si>
  <si>
    <t xml:space="preserve">creator_nutmeghill</t>
  </si>
  <si>
    <t xml:space="preserve">TCK-1092</t>
  </si>
  <si>
    <t xml:space="preserve">creator_orchardgate</t>
  </si>
  <si>
    <t xml:space="preserve">TCK-1093</t>
  </si>
  <si>
    <t xml:space="preserve">creator_pussywillow</t>
  </si>
  <si>
    <t xml:space="preserve">TCK-1094</t>
  </si>
  <si>
    <t xml:space="preserve">creator_quietbrook</t>
  </si>
  <si>
    <t xml:space="preserve">TCK-1095</t>
  </si>
  <si>
    <t xml:space="preserve">creator_rookery</t>
  </si>
  <si>
    <t xml:space="preserve">TCK-1096</t>
  </si>
  <si>
    <t xml:space="preserve">creator_saltmarsh</t>
  </si>
  <si>
    <t xml:space="preserve">TCK-1097</t>
  </si>
  <si>
    <t xml:space="preserve">creator_thistledown</t>
  </si>
  <si>
    <t xml:space="preserve">TCK-1098</t>
  </si>
  <si>
    <t xml:space="preserve">creator_underwood</t>
  </si>
  <si>
    <t xml:space="preserve">TCK-1099</t>
  </si>
  <si>
    <t xml:space="preserve">creator_verdantglen</t>
  </si>
  <si>
    <t xml:space="preserve">TCK-1100</t>
  </si>
  <si>
    <t xml:space="preserve">creator_waxwing</t>
  </si>
  <si>
    <t xml:space="preserve">TCK-1101</t>
  </si>
  <si>
    <t xml:space="preserve">creator_xanthegold</t>
  </si>
  <si>
    <t xml:space="preserve">TCK-1102</t>
  </si>
  <si>
    <t xml:space="preserve">creator_yonderfield</t>
  </si>
  <si>
    <t xml:space="preserve">TCK-1103</t>
  </si>
  <si>
    <t xml:space="preserve">creator_zealouspeak</t>
  </si>
  <si>
    <t xml:space="preserve">TCK-1104</t>
  </si>
  <si>
    <t xml:space="preserve">creator_arborvale</t>
  </si>
  <si>
    <t xml:space="preserve">TCK-1105</t>
  </si>
  <si>
    <t xml:space="preserve">creator_bayberry</t>
  </si>
  <si>
    <t xml:space="preserve">TCK-1106</t>
  </si>
  <si>
    <t xml:space="preserve">creator_cinderpath</t>
  </si>
  <si>
    <t xml:space="preserve">TCK-1107</t>
  </si>
  <si>
    <t xml:space="preserve">creator_driftshore</t>
  </si>
  <si>
    <t xml:space="preserve">TCK-1108</t>
  </si>
  <si>
    <t xml:space="preserve">creator_elderflower</t>
  </si>
  <si>
    <t xml:space="preserve">TCK-1109</t>
  </si>
  <si>
    <t xml:space="preserve">creator_foampeak</t>
  </si>
  <si>
    <t xml:space="preserve">TCK-1110</t>
  </si>
  <si>
    <t xml:space="preserve">creator_grottoblue</t>
  </si>
  <si>
    <t xml:space="preserve">TCK-1111</t>
  </si>
  <si>
    <t xml:space="preserve">creator_hillcrest</t>
  </si>
  <si>
    <t xml:space="preserve">TCK-1112</t>
  </si>
  <si>
    <t xml:space="preserve">creator_inletcove</t>
  </si>
  <si>
    <t xml:space="preserve">TCK-1113</t>
  </si>
  <si>
    <t xml:space="preserve">creator_juniperhill</t>
  </si>
  <si>
    <t xml:space="preserve">TCK-1114</t>
  </si>
  <si>
    <t xml:space="preserve">creator_kestrelridge</t>
  </si>
  <si>
    <t xml:space="preserve">TCK-1115</t>
  </si>
  <si>
    <t xml:space="preserve">creator_lowtide</t>
  </si>
  <si>
    <t xml:space="preserve">TCK-1116</t>
  </si>
  <si>
    <t xml:space="preserve">creator_meadowlark</t>
  </si>
  <si>
    <t xml:space="preserve">TCK-1117</t>
  </si>
  <si>
    <t xml:space="preserve">creator_nightjar</t>
  </si>
  <si>
    <t xml:space="preserve">TCK-1118</t>
  </si>
  <si>
    <t xml:space="preserve">creator_overlook</t>
  </si>
  <si>
    <t xml:space="preserve">TCK-1119</t>
  </si>
  <si>
    <t xml:space="preserve">creator_palebeach</t>
  </si>
  <si>
    <t xml:space="preserve">TCK-1120</t>
  </si>
  <si>
    <t xml:space="preserve">creator_quaildale</t>
  </si>
  <si>
    <t xml:space="preserve">TCK-1121</t>
  </si>
  <si>
    <t xml:space="preserve">creator_ridgeback</t>
  </si>
  <si>
    <t xml:space="preserve">TCK-1122</t>
  </si>
  <si>
    <t xml:space="preserve">creator_sablecreek</t>
  </si>
  <si>
    <t xml:space="preserve">TCK-1123</t>
  </si>
  <si>
    <t xml:space="preserve">creator_tanglewood</t>
  </si>
  <si>
    <t xml:space="preserve">TCK-1124</t>
  </si>
  <si>
    <t xml:space="preserve">creator_uplandmoor</t>
  </si>
  <si>
    <t xml:space="preserve">TCK-1125</t>
  </si>
  <si>
    <t xml:space="preserve">creator_vesperbay</t>
  </si>
  <si>
    <t xml:space="preserve">TCK-1126</t>
  </si>
  <si>
    <t xml:space="preserve">creator_wrenfield</t>
  </si>
  <si>
    <t xml:space="preserve">TCK-1127</t>
  </si>
  <si>
    <t xml:space="preserve">creator_yarrowhill</t>
  </si>
  <si>
    <t xml:space="preserve">Open</t>
  </si>
  <si>
    <t xml:space="preserve">TCK-1128</t>
  </si>
  <si>
    <t xml:space="preserve">creator_zinniadell</t>
  </si>
  <si>
    <t xml:space="preserve">TCK-1129</t>
  </si>
  <si>
    <t xml:space="preserve">creator_ashenmoor</t>
  </si>
  <si>
    <t xml:space="preserve">TCK-1130</t>
  </si>
  <si>
    <t xml:space="preserve">creator_blueheron</t>
  </si>
  <si>
    <t xml:space="preserve">TCK-1131</t>
  </si>
  <si>
    <t xml:space="preserve">creator_cliffside</t>
  </si>
  <si>
    <t xml:space="preserve">TCK-1132</t>
  </si>
  <si>
    <t xml:space="preserve">creator_dewpoint</t>
  </si>
  <si>
    <t xml:space="preserve">TCK-1133</t>
  </si>
  <si>
    <t xml:space="preserve">creator_eaglecrest</t>
  </si>
  <si>
    <t xml:space="preserve">TCK-1134</t>
  </si>
  <si>
    <t xml:space="preserve">creator_fogbank</t>
  </si>
  <si>
    <t xml:space="preserve">TCK-1135</t>
  </si>
  <si>
    <t xml:space="preserve">creator_glacierway</t>
  </si>
  <si>
    <t xml:space="preserve">TCK-1136</t>
  </si>
  <si>
    <t xml:space="preserve">creator_havenport</t>
  </si>
  <si>
    <t xml:space="preserve">TCK-1137</t>
  </si>
  <si>
    <t xml:space="preserve">creator_inglewood</t>
  </si>
  <si>
    <t xml:space="preserve">TCK-1138</t>
  </si>
  <si>
    <t xml:space="preserve">creator_jackpine</t>
  </si>
  <si>
    <t xml:space="preserve">TCK-1139</t>
  </si>
  <si>
    <t xml:space="preserve">creator_kindling</t>
  </si>
  <si>
    <t xml:space="preserve">TCK-1140</t>
  </si>
  <si>
    <t xml:space="preserve">creator_lavendermist</t>
  </si>
  <si>
    <t xml:space="preserve">What isn't in the bundle — and who can unblock it.</t>
  </si>
  <si>
    <t xml:space="preserve">Missing</t>
  </si>
  <si>
    <t xml:space="preserve">What it would settle</t>
  </si>
  <si>
    <t xml:space="preserve">CRM deal export, invoicing sheet, payout tracker</t>
  </si>
  <si>
    <t xml:space="preserve">Can't build or test the recon automation; can't measure real recon time</t>
  </si>
  <si>
    <t xml:space="preserve">Maya Fortin / Finance</t>
  </si>
  <si>
    <t xml:space="preserve">Maya's written-up recon steps (finance_review L36, due before June close)</t>
  </si>
  <si>
    <t xml:space="preserve">Exact scope and edge cases of the automation</t>
  </si>
  <si>
    <t xml:space="preserve">Time log for the recon</t>
  </si>
  <si>
    <t xml:space="preserve">Turns '~3 days' into a measured number (bounds 45–84 h/qtr)</t>
  </si>
  <si>
    <t xml:space="preserve">2-month time log</t>
  </si>
  <si>
    <t xml:space="preserve">W2–W5</t>
  </si>
  <si>
    <t xml:space="preserve">Q2 support tickets</t>
  </si>
  <si>
    <t xml:space="preserve">Tests Ops' May '#47 this week' surge</t>
  </si>
  <si>
    <t xml:space="preserve">Ben Okoro (Data)</t>
  </si>
  <si>
    <t xml:space="preserve">E-sign / tax-form service quotes</t>
  </si>
  <si>
    <t xml:space="preserve">Cost side of the business case (break-even ≈ $2.1k/yr on time alone)</t>
  </si>
  <si>
    <t xml:space="preserve">Elena Novak (People)</t>
  </si>
  <si>
    <t xml:space="preserve">Engineering estimate for self-serve thumbnail swap; CMS cost</t>
  </si>
  <si>
    <t xml:space="preserve">Cost side (break-even ≈ $1.8k/yr on time alone)</t>
  </si>
  <si>
    <t xml:space="preserve">Raj Patel (Eng)</t>
  </si>
  <si>
    <t xml:space="preserve">Agreed headline definition of 'active creators'</t>
  </si>
  <si>
    <t xml:space="preserve">Removes recurring deck rework</t>
  </si>
  <si>
    <t xml:space="preserve">Priya + Ben (leadership L31)</t>
  </si>
  <si>
    <t xml:space="preserve">Post-production throughput / backlog data</t>
  </si>
  <si>
    <t xml:space="preserve">Sizes the content bottleneck</t>
  </si>
  <si>
    <t xml:space="preserve">Vendor invoices / contracts</t>
  </si>
  <si>
    <t xml:space="preserve">Confirms Amplitude duplicate, Salesforce posting</t>
  </si>
  <si>
    <t xml:space="preserve">AP / Maya</t>
  </si>
</sst>
</file>

<file path=xl/styles.xml><?xml version="1.0" encoding="utf-8"?>
<styleSheet xmlns="http://schemas.openxmlformats.org/spreadsheetml/2006/main">
  <numFmts count="6">
    <numFmt numFmtId="164" formatCode="General"/>
    <numFmt numFmtId="165" formatCode="#,##0.0;\-#,##0.0;\-"/>
    <numFmt numFmtId="166" formatCode="0"/>
    <numFmt numFmtId="167" formatCode="0.0000"/>
    <numFmt numFmtId="168" formatCode="General"/>
    <numFmt numFmtId="169" formatCode="yyyy\-mm\-dd"/>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1"/>
      <color rgb="FFFFFFFF"/>
      <name val="Arial"/>
      <family val="0"/>
      <charset val="1"/>
    </font>
    <font>
      <b val="true"/>
      <sz val="10"/>
      <name val="Arial"/>
      <family val="0"/>
      <charset val="1"/>
    </font>
    <font>
      <sz val="10"/>
      <name val="Arial"/>
      <family val="0"/>
      <charset val="1"/>
    </font>
    <font>
      <sz val="10"/>
      <color rgb="FF0000FF"/>
      <name val="Arial"/>
      <family val="0"/>
      <charset val="1"/>
    </font>
    <font>
      <sz val="10"/>
      <name val="Arial"/>
      <family val="2"/>
    </font>
  </fonts>
  <fills count="8">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FE699"/>
        <bgColor rgb="FFF8CBAD"/>
      </patternFill>
    </fill>
    <fill>
      <patternFill patternType="solid">
        <fgColor rgb="FFF8CBAD"/>
        <bgColor rgb="FFFFE699"/>
      </patternFill>
    </fill>
    <fill>
      <patternFill patternType="solid">
        <fgColor rgb="FFC6EFCE"/>
        <bgColor rgb="FFCCFFFF"/>
      </patternFill>
    </fill>
    <fill>
      <patternFill patternType="solid">
        <fgColor rgb="FFEDEDED"/>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5" fontId="7" fillId="3" borderId="0" xfId="0" applyFont="true" applyBorder="false" applyAlignment="true" applyProtection="false">
      <alignment horizontal="general" vertical="top" textRotation="0" wrapText="true" indent="0" shrinkToFit="false"/>
      <protection locked="true" hidden="false"/>
    </xf>
    <xf numFmtId="166" fontId="7" fillId="3"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true" indent="0" shrinkToFit="false"/>
      <protection locked="true" hidden="false"/>
    </xf>
    <xf numFmtId="166"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8" fontId="7" fillId="3" borderId="0" xfId="0" applyFont="true" applyBorder="false" applyAlignment="true" applyProtection="false">
      <alignment horizontal="center"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8" fontId="7" fillId="0" borderId="0" xfId="0" applyFont="true" applyBorder="false" applyAlignment="true" applyProtection="false">
      <alignment horizontal="center" vertical="top"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5" min="3" style="0" width="12"/>
    <col collapsed="false" customWidth="true" hidden="false" outlineLevel="0" max="6" min="6" style="0" width="10"/>
    <col collapsed="false" customWidth="true" hidden="false" outlineLevel="0" max="8" min="7" style="0" width="30"/>
  </cols>
  <sheetData>
    <row r="1" customFormat="false" ht="17.35" hidden="false" customHeight="false" outlineLevel="0" collapsed="false">
      <c r="A1" s="1" t="s">
        <v>0</v>
      </c>
    </row>
    <row r="2" customFormat="false" ht="15" hidden="false" customHeight="false" outlineLevel="0" collapsed="false">
      <c r="A2" s="2" t="s">
        <v>1</v>
      </c>
    </row>
    <row r="4" customFormat="false" ht="26.85" hidden="false" customHeight="false" outlineLevel="0" collapsed="false">
      <c r="A4" s="3" t="s">
        <v>2</v>
      </c>
      <c r="B4" s="3" t="s">
        <v>3</v>
      </c>
      <c r="C4" s="3" t="s">
        <v>4</v>
      </c>
      <c r="D4" s="3" t="s">
        <v>5</v>
      </c>
      <c r="E4" s="3" t="s">
        <v>6</v>
      </c>
      <c r="F4" s="3" t="s">
        <v>7</v>
      </c>
      <c r="G4" s="3" t="s">
        <v>8</v>
      </c>
      <c r="H4" s="3" t="s">
        <v>9</v>
      </c>
    </row>
    <row r="5" customFormat="false" ht="35.05" hidden="false" customHeight="false" outlineLevel="0" collapsed="false">
      <c r="A5" s="4" t="n">
        <v>1</v>
      </c>
      <c r="B5" s="5" t="str">
        <f aca="false">IFERROR(INDEX(Workflows!$C$3:$C$10,MATCH($A5,Workflows!$W$3:$W$10,0))&amp;"","")</f>
        <v>Brand-deal revenue reconciliation (CRM ↔ invoicing ↔ payout tracker)</v>
      </c>
      <c r="C5" s="6" t="n">
        <f aca="false">IFERROR(IF(INDEX(Workflows!$I$3:$I$10,MATCH($A5,Workflows!$W$3:$W$10,0))="","—",INDEX(Workflows!$I$3:$I$10,MATCH($A5,Workflows!$W$3:$W$10,0))),"")</f>
        <v>72</v>
      </c>
      <c r="D5" s="6" t="n">
        <f aca="false">IFERROR(IF(INDEX(Workflows!$J$3:$J$10,MATCH($A5,Workflows!$W$3:$W$10,0))="","—",INDEX(Workflows!$J$3:$J$10,MATCH($A5,Workflows!$W$3:$W$10,0))),"")</f>
        <v>45</v>
      </c>
      <c r="E5" s="6" t="n">
        <f aca="false">IFERROR(IF(INDEX(Workflows!$K$3:$K$10,MATCH($A5,Workflows!$W$3:$W$10,0))="","—",INDEX(Workflows!$K$3:$K$10,MATCH($A5,Workflows!$W$3:$W$10,0))),"")</f>
        <v>84</v>
      </c>
      <c r="F5" s="7" t="n">
        <f aca="false">IFERROR(IF(INDEX(Workflows!$S$3:$S$10,MATCH($A5,Workflows!$W$3:$W$10,0))="","—",INDEX(Workflows!$S$3:$S$10,MATCH($A5,Workflows!$W$3:$W$10,0))),"")</f>
        <v>15</v>
      </c>
      <c r="G5" s="5" t="str">
        <f aca="false">IFERROR(INDEX(Workflows!$L$3:$L$10,MATCH($A5,Workflows!$W$3:$W$10,0))&amp;"","")</f>
        <v>Claimed — same '~3 days' in Slack, finance review and leadership minutes</v>
      </c>
      <c r="H5" s="5" t="str">
        <f aca="false">IFERROR(INDEX(Workflows!$T$3:$T$10,MATCH($A5,Workflows!$W$3:$W$10,0))&amp;"","")</f>
        <v>Yes — 3-way match</v>
      </c>
    </row>
    <row r="6" customFormat="false" ht="23.85" hidden="false" customHeight="false" outlineLevel="0" collapsed="false">
      <c r="A6" s="8" t="n">
        <v>2</v>
      </c>
      <c r="B6" s="9" t="str">
        <f aca="false">IFERROR(INDEX(Workflows!$C$3:$C$10,MATCH($A6,Workflows!$W$3:$W$10,0))&amp;"","")</f>
        <v>Reconciling the 'active creators' number (1,210 vs 1,840) for decks</v>
      </c>
      <c r="C6" s="10" t="str">
        <f aca="false">IFERROR(IF(INDEX(Workflows!$I$3:$I$10,MATCH($A6,Workflows!$W$3:$W$10,0))="","—",INDEX(Workflows!$I$3:$I$10,MATCH($A6,Workflows!$W$3:$W$10,0))),"")</f>
        <v>—</v>
      </c>
      <c r="D6" s="10" t="str">
        <f aca="false">IFERROR(IF(INDEX(Workflows!$J$3:$J$10,MATCH($A6,Workflows!$W$3:$W$10,0))="","—",INDEX(Workflows!$J$3:$J$10,MATCH($A6,Workflows!$W$3:$W$10,0))),"")</f>
        <v>—</v>
      </c>
      <c r="E6" s="10" t="str">
        <f aca="false">IFERROR(IF(INDEX(Workflows!$K$3:$K$10,MATCH($A6,Workflows!$W$3:$W$10,0))="","—",INDEX(Workflows!$K$3:$K$10,MATCH($A6,Workflows!$W$3:$W$10,0))),"")</f>
        <v>—</v>
      </c>
      <c r="F6" s="11" t="n">
        <f aca="false">IFERROR(IF(INDEX(Workflows!$S$3:$S$10,MATCH($A6,Workflows!$W$3:$W$10,0))="","—",INDEX(Workflows!$S$3:$S$10,MATCH($A6,Workflows!$W$3:$W$10,0))),"")</f>
        <v>11</v>
      </c>
      <c r="G6" s="9" t="str">
        <f aca="false">IFERROR(INDEX(Workflows!$L$3:$L$10,MATCH($A6,Workflows!$W$3:$W$10,0))&amp;"","")</f>
        <v>Not quantified</v>
      </c>
      <c r="H6" s="9" t="str">
        <f aca="false">IFERROR(INDEX(Workflows!$T$3:$T$10,MATCH($A6,Workflows!$W$3:$W$10,0))&amp;"","")</f>
        <v>No — a definition decision, not automation</v>
      </c>
    </row>
    <row r="7" customFormat="false" ht="15" hidden="false" customHeight="false" outlineLevel="0" collapsed="false">
      <c r="A7" s="8" t="n">
        <v>3</v>
      </c>
      <c r="B7" s="9" t="str">
        <f aca="false">IFERROR(INDEX(Workflows!$C$3:$C$10,MATCH($A7,Workflows!$W$3:$W$10,0))&amp;"","")</f>
        <v>Tax-form chasing (W-9 / W-8)</v>
      </c>
      <c r="C7" s="10" t="n">
        <f aca="false">IFERROR(IF(INDEX(Workflows!$I$3:$I$10,MATCH($A7,Workflows!$W$3:$W$10,0))="","—",INDEX(Workflows!$I$3:$I$10,MATCH($A7,Workflows!$W$3:$W$10,0))),"")</f>
        <v>25.9166666666667</v>
      </c>
      <c r="D7" s="10" t="n">
        <f aca="false">IFERROR(IF(INDEX(Workflows!$J$3:$J$10,MATCH($A7,Workflows!$W$3:$W$10,0))="","—",INDEX(Workflows!$J$3:$J$10,MATCH($A7,Workflows!$W$3:$W$10,0))),"")</f>
        <v>25.9166666666667</v>
      </c>
      <c r="E7" s="10" t="n">
        <f aca="false">IFERROR(IF(INDEX(Workflows!$K$3:$K$10,MATCH($A7,Workflows!$W$3:$W$10,0))="","—",INDEX(Workflows!$K$3:$K$10,MATCH($A7,Workflows!$W$3:$W$10,0))),"")</f>
        <v>51.8333333333333</v>
      </c>
      <c r="F7" s="11" t="n">
        <f aca="false">IFERROR(IF(INDEX(Workflows!$S$3:$S$10,MATCH($A7,Workflows!$W$3:$W$10,0))="","—",INDEX(Workflows!$S$3:$S$10,MATCH($A7,Workflows!$W$3:$W$10,0))),"")</f>
        <v>9</v>
      </c>
      <c r="G7" s="9" t="str">
        <f aca="false">IFERROR(INDEX(Workflows!$L$3:$L$10,MATCH($A7,Workflows!$W$3:$W$10,0))&amp;"","")</f>
        <v>Measured (ticket log)</v>
      </c>
      <c r="H7" s="9" t="str">
        <f aca="false">IFERROR(INDEX(Workflows!$T$3:$T$10,MATCH($A7,Workflows!$W$3:$W$10,0))&amp;"","")</f>
        <v>Yes — e-sign + reminders</v>
      </c>
    </row>
    <row r="8" customFormat="false" ht="15" hidden="false" customHeight="false" outlineLevel="0" collapsed="false">
      <c r="A8" s="8" t="n">
        <v>4</v>
      </c>
      <c r="B8" s="9" t="str">
        <f aca="false">IFERROR(INDEX(Workflows!$C$3:$C$10,MATCH($A8,Workflows!$W$3:$W$10,0))&amp;"","")</f>
        <v>Post-production bottleneck (editing, re-exports)</v>
      </c>
      <c r="C8" s="10" t="str">
        <f aca="false">IFERROR(IF(INDEX(Workflows!$I$3:$I$10,MATCH($A8,Workflows!$W$3:$W$10,0))="","—",INDEX(Workflows!$I$3:$I$10,MATCH($A8,Workflows!$W$3:$W$10,0))),"")</f>
        <v>—</v>
      </c>
      <c r="D8" s="10" t="str">
        <f aca="false">IFERROR(IF(INDEX(Workflows!$J$3:$J$10,MATCH($A8,Workflows!$W$3:$W$10,0))="","—",INDEX(Workflows!$J$3:$J$10,MATCH($A8,Workflows!$W$3:$W$10,0))),"")</f>
        <v>—</v>
      </c>
      <c r="E8" s="10" t="str">
        <f aca="false">IFERROR(IF(INDEX(Workflows!$K$3:$K$10,MATCH($A8,Workflows!$W$3:$W$10,0))="","—",INDEX(Workflows!$K$3:$K$10,MATCH($A8,Workflows!$W$3:$W$10,0))),"")</f>
        <v>—</v>
      </c>
      <c r="F8" s="11" t="n">
        <f aca="false">IFERROR(IF(INDEX(Workflows!$S$3:$S$10,MATCH($A8,Workflows!$W$3:$W$10,0))="","—",INDEX(Workflows!$S$3:$S$10,MATCH($A8,Workflows!$W$3:$W$10,0))),"")</f>
        <v>9</v>
      </c>
      <c r="G8" s="9" t="str">
        <f aca="false">IFERROR(INDEX(Workflows!$L$3:$L$10,MATCH($A8,Workflows!$W$3:$W$10,0))&amp;"","")</f>
        <v>Not quantified</v>
      </c>
      <c r="H8" s="9" t="str">
        <f aca="false">IFERROR(INDEX(Workflows!$T$3:$T$10,MATCH($A8,Workflows!$W$3:$W$10,0))&amp;"","")</f>
        <v>Partly</v>
      </c>
    </row>
    <row r="9" customFormat="false" ht="23.85" hidden="false" customHeight="false" outlineLevel="0" collapsed="false">
      <c r="A9" s="8" t="n">
        <v>5</v>
      </c>
      <c r="B9" s="9" t="str">
        <f aca="false">IFERROR(INDEX(Workflows!$C$3:$C$10,MATCH($A9,Workflows!$W$3:$W$10,0))&amp;"","")</f>
        <v>Vendor / SaaS hygiene (renewal calendar, Salesforce check, EUR, Amplitude invoice)</v>
      </c>
      <c r="C9" s="10" t="str">
        <f aca="false">IFERROR(IF(INDEX(Workflows!$I$3:$I$10,MATCH($A9,Workflows!$W$3:$W$10,0))="","—",INDEX(Workflows!$I$3:$I$10,MATCH($A9,Workflows!$W$3:$W$10,0))),"")</f>
        <v>—</v>
      </c>
      <c r="D9" s="10" t="str">
        <f aca="false">IFERROR(IF(INDEX(Workflows!$J$3:$J$10,MATCH($A9,Workflows!$W$3:$W$10,0))="","—",INDEX(Workflows!$J$3:$J$10,MATCH($A9,Workflows!$W$3:$W$10,0))),"")</f>
        <v>—</v>
      </c>
      <c r="E9" s="10" t="str">
        <f aca="false">IFERROR(IF(INDEX(Workflows!$K$3:$K$10,MATCH($A9,Workflows!$W$3:$W$10,0))="","—",INDEX(Workflows!$K$3:$K$10,MATCH($A9,Workflows!$W$3:$W$10,0))),"")</f>
        <v>—</v>
      </c>
      <c r="F9" s="11" t="n">
        <f aca="false">IFERROR(IF(INDEX(Workflows!$S$3:$S$10,MATCH($A9,Workflows!$W$3:$W$10,0))="","—",INDEX(Workflows!$S$3:$S$10,MATCH($A9,Workflows!$W$3:$W$10,0))),"")</f>
        <v>9</v>
      </c>
      <c r="G9" s="9" t="str">
        <f aca="false">IFERROR(INDEX(Workflows!$L$3:$L$10,MATCH($A9,Workflows!$W$3:$W$10,0))&amp;"","")</f>
        <v>Not quantified</v>
      </c>
      <c r="H9" s="9" t="str">
        <f aca="false">IFERROR(INDEX(Workflows!$T$3:$T$10,MATCH($A9,Workflows!$W$3:$W$10,0))&amp;"","")</f>
        <v>Yes — vendor calendar + checks</v>
      </c>
    </row>
    <row r="10" customFormat="false" ht="15" hidden="false" customHeight="false" outlineLevel="0" collapsed="false">
      <c r="A10" s="8" t="n">
        <v>6</v>
      </c>
      <c r="B10" s="9" t="str">
        <f aca="false">IFERROR(INDEX(Workflows!$C$3:$C$10,MATCH($A10,Workflows!$W$3:$W$10,0))&amp;"","")</f>
        <v>Payout questions ('where's my payout')</v>
      </c>
      <c r="C10" s="10" t="n">
        <f aca="false">IFERROR(IF(INDEX(Workflows!$I$3:$I$10,MATCH($A10,Workflows!$W$3:$W$10,0))="","—",INDEX(Workflows!$I$3:$I$10,MATCH($A10,Workflows!$W$3:$W$10,0))),"")</f>
        <v>14.5833333333333</v>
      </c>
      <c r="D10" s="10" t="n">
        <f aca="false">IFERROR(IF(INDEX(Workflows!$J$3:$J$10,MATCH($A10,Workflows!$W$3:$W$10,0))="","—",INDEX(Workflows!$J$3:$J$10,MATCH($A10,Workflows!$W$3:$W$10,0))),"")</f>
        <v>14.5833333333333</v>
      </c>
      <c r="E10" s="10" t="n">
        <f aca="false">IFERROR(IF(INDEX(Workflows!$K$3:$K$10,MATCH($A10,Workflows!$W$3:$W$10,0))="","—",INDEX(Workflows!$K$3:$K$10,MATCH($A10,Workflows!$W$3:$W$10,0))),"")</f>
        <v>29.1666666666667</v>
      </c>
      <c r="F10" s="11" t="n">
        <f aca="false">IFERROR(IF(INDEX(Workflows!$S$3:$S$10,MATCH($A10,Workflows!$W$3:$W$10,0))="","—",INDEX(Workflows!$S$3:$S$10,MATCH($A10,Workflows!$W$3:$W$10,0))),"")</f>
        <v>8</v>
      </c>
      <c r="G10" s="9" t="str">
        <f aca="false">IFERROR(INDEX(Workflows!$L$3:$L$10,MATCH($A10,Workflows!$W$3:$W$10,0))&amp;"","")</f>
        <v>Measured (ticket log)</v>
      </c>
      <c r="H10" s="9" t="str">
        <f aca="false">IFERROR(INDEX(Workflows!$T$3:$T$10,MATCH($A10,Workflows!$W$3:$W$10,0))&amp;"","")</f>
        <v>Partly — needs payout tracker</v>
      </c>
    </row>
    <row r="11" customFormat="false" ht="15" hidden="false" customHeight="false" outlineLevel="0" collapsed="false">
      <c r="A11" s="8" t="n">
        <v>7</v>
      </c>
      <c r="B11" s="9" t="str">
        <f aca="false">IFERROR(INDEX(Workflows!$C$3:$C$10,MATCH($A11,Workflows!$W$3:$W$10,0))&amp;"","")</f>
        <v>Thumbnail re-uploads after publish</v>
      </c>
      <c r="C11" s="10" t="n">
        <f aca="false">IFERROR(IF(INDEX(Workflows!$I$3:$I$10,MATCH($A11,Workflows!$W$3:$W$10,0))="","—",INDEX(Workflows!$I$3:$I$10,MATCH($A11,Workflows!$W$3:$W$10,0))),"")</f>
        <v>22.75</v>
      </c>
      <c r="D11" s="10" t="n">
        <f aca="false">IFERROR(IF(INDEX(Workflows!$J$3:$J$10,MATCH($A11,Workflows!$W$3:$W$10,0))="","—",INDEX(Workflows!$J$3:$J$10,MATCH($A11,Workflows!$W$3:$W$10,0))),"")</f>
        <v>22.75</v>
      </c>
      <c r="E11" s="10" t="n">
        <f aca="false">IFERROR(IF(INDEX(Workflows!$K$3:$K$10,MATCH($A11,Workflows!$W$3:$W$10,0))="","—",INDEX(Workflows!$K$3:$K$10,MATCH($A11,Workflows!$W$3:$W$10,0))),"")</f>
        <v>45.5</v>
      </c>
      <c r="F11" s="11" t="n">
        <f aca="false">IFERROR(IF(INDEX(Workflows!$S$3:$S$10,MATCH($A11,Workflows!$W$3:$W$10,0))="","—",INDEX(Workflows!$S$3:$S$10,MATCH($A11,Workflows!$W$3:$W$10,0))),"")</f>
        <v>6</v>
      </c>
      <c r="G11" s="9" t="str">
        <f aca="false">IFERROR(INDEX(Workflows!$L$3:$L$10,MATCH($A11,Workflows!$W$3:$W$10,0))&amp;"","")</f>
        <v>Measured (ticket log)</v>
      </c>
      <c r="H11" s="9" t="str">
        <f aca="false">IFERROR(INDEX(Workflows!$T$3:$T$10,MATCH($A11,Workflows!$W$3:$W$10,0))&amp;"","")</f>
        <v>Yes — self-serve swap</v>
      </c>
    </row>
    <row r="12" customFormat="false" ht="15" hidden="false" customHeight="false" outlineLevel="0" collapsed="false">
      <c r="A12" s="8" t="n">
        <v>8</v>
      </c>
      <c r="B12" s="9" t="str">
        <f aca="false">IFERROR(INDEX(Workflows!$C$3:$C$10,MATCH($A12,Workflows!$W$3:$W$10,0))&amp;"","")</f>
        <v>Other support (login, account access, takedowns)</v>
      </c>
      <c r="C12" s="10" t="n">
        <f aca="false">IFERROR(IF(INDEX(Workflows!$I$3:$I$10,MATCH($A12,Workflows!$W$3:$W$10,0))="","—",INDEX(Workflows!$I$3:$I$10,MATCH($A12,Workflows!$W$3:$W$10,0))),"")</f>
        <v>7.25</v>
      </c>
      <c r="D12" s="10" t="n">
        <f aca="false">IFERROR(IF(INDEX(Workflows!$J$3:$J$10,MATCH($A12,Workflows!$W$3:$W$10,0))="","—",INDEX(Workflows!$J$3:$J$10,MATCH($A12,Workflows!$W$3:$W$10,0))),"")</f>
        <v>7.25</v>
      </c>
      <c r="E12" s="10" t="n">
        <f aca="false">IFERROR(IF(INDEX(Workflows!$K$3:$K$10,MATCH($A12,Workflows!$W$3:$W$10,0))="","—",INDEX(Workflows!$K$3:$K$10,MATCH($A12,Workflows!$W$3:$W$10,0))),"")</f>
        <v>14.5</v>
      </c>
      <c r="F12" s="11" t="n">
        <f aca="false">IFERROR(IF(INDEX(Workflows!$S$3:$S$10,MATCH($A12,Workflows!$W$3:$W$10,0))="","—",INDEX(Workflows!$S$3:$S$10,MATCH($A12,Workflows!$W$3:$W$10,0))),"")</f>
        <v>5</v>
      </c>
      <c r="G12" s="9" t="str">
        <f aca="false">IFERROR(INDEX(Workflows!$L$3:$L$10,MATCH($A12,Workflows!$W$3:$W$10,0))&amp;"","")</f>
        <v>Measured (ticket log)</v>
      </c>
      <c r="H12" s="9" t="str">
        <f aca="false">IFERROR(INDEX(Workflows!$T$3:$T$10,MATCH($A12,Workflows!$W$3:$W$10,0))&amp;"","")</f>
        <v>No — security / legal judgment</v>
      </c>
    </row>
    <row r="14" customFormat="false" ht="15" hidden="false" customHeight="true" outlineLevel="0" collapsed="false">
      <c r="A14" s="12" t="s">
        <v>10</v>
      </c>
      <c r="B14" s="12"/>
      <c r="C14" s="12"/>
      <c r="D14" s="12"/>
      <c r="E14" s="12"/>
      <c r="F14" s="12"/>
      <c r="G14" s="12"/>
      <c r="H14" s="12"/>
    </row>
    <row r="15" customFormat="false" ht="43.5" hidden="false" customHeight="true" outlineLevel="0" collapsed="false">
      <c r="A15" s="13" t="s">
        <v>11</v>
      </c>
      <c r="B15" s="13"/>
      <c r="C15" s="13"/>
      <c r="D15" s="13"/>
      <c r="E15" s="13"/>
      <c r="F15" s="13"/>
      <c r="G15" s="13"/>
      <c r="H15" s="13"/>
    </row>
    <row r="16" customFormat="false" ht="43.5" hidden="false" customHeight="true" outlineLevel="0" collapsed="false">
      <c r="A16" s="13" t="s">
        <v>12</v>
      </c>
      <c r="B16" s="13"/>
      <c r="C16" s="13"/>
      <c r="D16" s="13"/>
      <c r="E16" s="13"/>
      <c r="F16" s="13"/>
      <c r="G16" s="13"/>
      <c r="H16" s="13"/>
    </row>
    <row r="17" customFormat="false" ht="43.5" hidden="false" customHeight="true" outlineLevel="0" collapsed="false">
      <c r="A17" s="12" t="s">
        <v>13</v>
      </c>
      <c r="B17" s="12"/>
      <c r="C17" s="12"/>
      <c r="D17" s="12"/>
      <c r="E17" s="12"/>
      <c r="F17" s="12"/>
      <c r="G17" s="12"/>
      <c r="H17" s="12"/>
    </row>
    <row r="18" customFormat="false" ht="43.5" hidden="false" customHeight="true" outlineLevel="0" collapsed="false">
      <c r="A18" s="14" t="s">
        <v>14</v>
      </c>
      <c r="B18" s="14"/>
      <c r="C18" s="14"/>
      <c r="D18" s="14"/>
      <c r="E18" s="14"/>
      <c r="F18" s="14"/>
      <c r="G18" s="14"/>
      <c r="H18" s="14"/>
    </row>
  </sheetData>
  <mergeCells count="5">
    <mergeCell ref="A14:H14"/>
    <mergeCell ref="A15:H15"/>
    <mergeCell ref="A16:H16"/>
    <mergeCell ref="A17:H17"/>
    <mergeCell ref="A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34"/>
    <col collapsed="false" customWidth="true" hidden="false" outlineLevel="0" max="4" min="4" style="0" width="20"/>
    <col collapsed="false" customWidth="true" hidden="false" outlineLevel="0" max="5" min="5" style="0" width="26"/>
    <col collapsed="false" customWidth="true" hidden="false" outlineLevel="0" max="6" min="6" style="0" width="6"/>
    <col collapsed="false" customWidth="true" hidden="false" outlineLevel="0" max="8" min="7" style="0" width="9"/>
    <col collapsed="false" customWidth="true" hidden="false" outlineLevel="0" max="9" min="9" style="0" width="10"/>
    <col collapsed="false" customWidth="true" hidden="false" outlineLevel="0" max="11" min="10" style="0" width="9"/>
    <col collapsed="false" customWidth="true" hidden="false" outlineLevel="0" max="12" min="12" style="0" width="11"/>
    <col collapsed="false" customWidth="true" hidden="false" outlineLevel="0" max="13" min="13" style="0" width="8"/>
    <col collapsed="false" customWidth="true" hidden="false" outlineLevel="0" max="18" min="14" style="0" width="9"/>
    <col collapsed="false" customWidth="true" hidden="false" outlineLevel="0" max="19" min="19" style="0" width="10"/>
    <col collapsed="false" customWidth="true" hidden="false" outlineLevel="0" max="20" min="20" style="0" width="22"/>
    <col collapsed="false" customWidth="true" hidden="false" outlineLevel="0" max="21" min="21" style="0" width="24"/>
    <col collapsed="false" customWidth="true" hidden="false" outlineLevel="0" max="22" min="22" style="0" width="9"/>
    <col collapsed="false" customWidth="true" hidden="false" outlineLevel="0" max="23" min="23" style="0" width="8"/>
    <col collapsed="false" customWidth="true" hidden="false" outlineLevel="0" max="28" min="24" style="0" width="34"/>
  </cols>
  <sheetData>
    <row r="1" customFormat="false" ht="15" hidden="false" customHeight="false" outlineLevel="0" collapsed="false">
      <c r="A1" s="8" t="s">
        <v>15</v>
      </c>
    </row>
    <row r="2" customFormat="false" ht="45" hidden="false" customHeight="true" outlineLevel="0" collapsed="false">
      <c r="A2" s="15" t="s">
        <v>16</v>
      </c>
      <c r="B2" s="15" t="s">
        <v>17</v>
      </c>
      <c r="C2" s="15" t="s">
        <v>3</v>
      </c>
      <c r="D2" s="15" t="s">
        <v>18</v>
      </c>
      <c r="E2" s="15" t="s">
        <v>19</v>
      </c>
      <c r="F2" s="15" t="s">
        <v>20</v>
      </c>
      <c r="G2" s="15" t="s">
        <v>21</v>
      </c>
      <c r="H2" s="15" t="s">
        <v>22</v>
      </c>
      <c r="I2" s="15" t="s">
        <v>23</v>
      </c>
      <c r="J2" s="15" t="s">
        <v>24</v>
      </c>
      <c r="K2" s="15" t="s">
        <v>25</v>
      </c>
      <c r="L2" s="15" t="s">
        <v>8</v>
      </c>
      <c r="M2" s="15" t="s">
        <v>26</v>
      </c>
      <c r="N2" s="15" t="s">
        <v>27</v>
      </c>
      <c r="O2" s="15" t="s">
        <v>28</v>
      </c>
      <c r="P2" s="15" t="s">
        <v>29</v>
      </c>
      <c r="Q2" s="15" t="s">
        <v>30</v>
      </c>
      <c r="R2" s="15" t="s">
        <v>31</v>
      </c>
      <c r="S2" s="15" t="s">
        <v>7</v>
      </c>
      <c r="T2" s="15" t="s">
        <v>9</v>
      </c>
      <c r="U2" s="15" t="s">
        <v>32</v>
      </c>
      <c r="V2" s="15" t="s">
        <v>33</v>
      </c>
      <c r="W2" s="15" t="s">
        <v>34</v>
      </c>
      <c r="X2" s="15" t="s">
        <v>35</v>
      </c>
      <c r="Y2" s="15" t="s">
        <v>36</v>
      </c>
      <c r="Z2" s="15" t="s">
        <v>37</v>
      </c>
      <c r="AA2" s="15" t="s">
        <v>38</v>
      </c>
      <c r="AB2" s="15" t="s">
        <v>39</v>
      </c>
    </row>
    <row r="3" customFormat="false" ht="91" hidden="false" customHeight="false" outlineLevel="0" collapsed="false">
      <c r="A3" s="16" t="s">
        <v>40</v>
      </c>
      <c r="B3" s="17" t="s">
        <v>41</v>
      </c>
      <c r="C3" s="17" t="s">
        <v>42</v>
      </c>
      <c r="D3" s="17" t="s">
        <v>43</v>
      </c>
      <c r="E3" s="17" t="s">
        <v>44</v>
      </c>
      <c r="F3" s="18" t="n">
        <v>3</v>
      </c>
      <c r="G3" s="17" t="s">
        <v>45</v>
      </c>
      <c r="H3" s="18" t="n">
        <v>8</v>
      </c>
      <c r="I3" s="19" t="n">
        <f aca="false">F3*H3*3</f>
        <v>72</v>
      </c>
      <c r="J3" s="20" t="n">
        <f aca="false">2.5*6*3</f>
        <v>45</v>
      </c>
      <c r="K3" s="20" t="n">
        <f aca="false">3.5*8*3</f>
        <v>84</v>
      </c>
      <c r="L3" s="21" t="s">
        <v>46</v>
      </c>
      <c r="M3" s="22" t="n">
        <f aca="false">COUNTIFS(Evidence!$A$3:$A$52,A3)</f>
        <v>13</v>
      </c>
      <c r="N3" s="23" t="n">
        <v>3</v>
      </c>
      <c r="O3" s="23" t="n">
        <v>3</v>
      </c>
      <c r="P3" s="23" t="n">
        <v>3</v>
      </c>
      <c r="Q3" s="23" t="n">
        <v>3</v>
      </c>
      <c r="R3" s="23" t="n">
        <v>3</v>
      </c>
      <c r="S3" s="24" t="n">
        <f aca="false">SUM(N3:R3)</f>
        <v>15</v>
      </c>
      <c r="T3" s="17" t="s">
        <v>47</v>
      </c>
      <c r="U3" s="25" t="s">
        <v>48</v>
      </c>
      <c r="V3" s="26" t="n">
        <f aca="false">S3*1000+N(I3)+(100-ROW())/10000</f>
        <v>15072.0097</v>
      </c>
      <c r="W3" s="27" t="n">
        <f aca="false">RANK(V3,$V$3:$V$10)</f>
        <v>1</v>
      </c>
      <c r="X3" s="17" t="s">
        <v>49</v>
      </c>
      <c r="Y3" s="17" t="s">
        <v>50</v>
      </c>
      <c r="Z3" s="17" t="s">
        <v>51</v>
      </c>
      <c r="AA3" s="17" t="s">
        <v>52</v>
      </c>
      <c r="AB3" s="17" t="s">
        <v>53</v>
      </c>
    </row>
    <row r="4" customFormat="false" ht="35.05" hidden="false" customHeight="false" outlineLevel="0" collapsed="false">
      <c r="A4" s="16" t="s">
        <v>54</v>
      </c>
      <c r="B4" s="17" t="s">
        <v>55</v>
      </c>
      <c r="C4" s="17" t="s">
        <v>56</v>
      </c>
      <c r="D4" s="17" t="s">
        <v>57</v>
      </c>
      <c r="E4" s="17" t="s">
        <v>58</v>
      </c>
      <c r="I4" s="19" t="n">
        <f aca="false">(SUMIFS('Tickets (raw)'!$G$3:$G$142,'Tickets (raw)'!$D$3:$D$142,"Tax form (W-9/W-8)"))/60</f>
        <v>25.9166666666667</v>
      </c>
      <c r="J4" s="20" t="n">
        <f aca="false">I4</f>
        <v>25.9166666666667</v>
      </c>
      <c r="K4" s="20" t="n">
        <f aca="false">I4*2</f>
        <v>51.8333333333333</v>
      </c>
      <c r="L4" s="28" t="s">
        <v>59</v>
      </c>
      <c r="M4" s="22" t="n">
        <f aca="false">COUNTIFS(Evidence!$A$3:$A$52,A4)</f>
        <v>4</v>
      </c>
      <c r="N4" s="23" t="n">
        <v>2</v>
      </c>
      <c r="O4" s="23" t="n">
        <v>1</v>
      </c>
      <c r="P4" s="23" t="n">
        <v>2</v>
      </c>
      <c r="Q4" s="23" t="n">
        <v>2</v>
      </c>
      <c r="R4" s="23" t="n">
        <v>2</v>
      </c>
      <c r="S4" s="24" t="n">
        <f aca="false">SUM(N4:R4)</f>
        <v>9</v>
      </c>
      <c r="T4" s="17" t="s">
        <v>60</v>
      </c>
      <c r="U4" s="17" t="s">
        <v>61</v>
      </c>
      <c r="V4" s="26" t="n">
        <f aca="false">S4*1000+N(I4)+(100-ROW())/10000</f>
        <v>9025.92626666667</v>
      </c>
      <c r="W4" s="29" t="n">
        <f aca="false">RANK(V4,$V$3:$V$10)</f>
        <v>3</v>
      </c>
      <c r="X4" s="17" t="s">
        <v>62</v>
      </c>
      <c r="Y4" s="17" t="s">
        <v>63</v>
      </c>
      <c r="Z4" s="17" t="s">
        <v>64</v>
      </c>
      <c r="AA4" s="17" t="s">
        <v>65</v>
      </c>
      <c r="AB4" s="17" t="s">
        <v>66</v>
      </c>
    </row>
    <row r="5" customFormat="false" ht="23.85" hidden="false" customHeight="false" outlineLevel="0" collapsed="false">
      <c r="A5" s="16" t="s">
        <v>67</v>
      </c>
      <c r="B5" s="17" t="s">
        <v>68</v>
      </c>
      <c r="C5" s="17" t="s">
        <v>69</v>
      </c>
      <c r="D5" s="17" t="s">
        <v>70</v>
      </c>
      <c r="E5" s="17" t="s">
        <v>71</v>
      </c>
      <c r="I5" s="19" t="n">
        <f aca="false">(SUMIFS('Tickets (raw)'!$G$3:$G$142,'Tickets (raw)'!$D$3:$D$142,"Thumbnail re-upload"))/60</f>
        <v>22.75</v>
      </c>
      <c r="J5" s="20" t="n">
        <f aca="false">I5</f>
        <v>22.75</v>
      </c>
      <c r="K5" s="20" t="n">
        <f aca="false">I5*2</f>
        <v>45.5</v>
      </c>
      <c r="L5" s="28" t="s">
        <v>59</v>
      </c>
      <c r="M5" s="22" t="n">
        <f aca="false">COUNTIFS(Evidence!$A$3:$A$52,A5)</f>
        <v>4</v>
      </c>
      <c r="N5" s="23" t="n">
        <v>1</v>
      </c>
      <c r="O5" s="23" t="n">
        <v>1</v>
      </c>
      <c r="P5" s="23" t="n">
        <v>1</v>
      </c>
      <c r="Q5" s="23" t="n">
        <v>1</v>
      </c>
      <c r="R5" s="23" t="n">
        <v>2</v>
      </c>
      <c r="S5" s="24" t="n">
        <f aca="false">SUM(N5:R5)</f>
        <v>6</v>
      </c>
      <c r="T5" s="17" t="s">
        <v>72</v>
      </c>
      <c r="U5" s="17" t="s">
        <v>61</v>
      </c>
      <c r="V5" s="26" t="n">
        <f aca="false">S5*1000+N(I5)+(100-ROW())/10000</f>
        <v>6022.7595</v>
      </c>
      <c r="W5" s="29" t="n">
        <f aca="false">RANK(V5,$V$3:$V$10)</f>
        <v>7</v>
      </c>
      <c r="X5" s="17" t="s">
        <v>73</v>
      </c>
      <c r="Y5" s="17" t="s">
        <v>63</v>
      </c>
      <c r="Z5" s="17" t="s">
        <v>74</v>
      </c>
      <c r="AA5" s="17" t="s">
        <v>75</v>
      </c>
      <c r="AB5" s="17" t="s">
        <v>76</v>
      </c>
    </row>
    <row r="6" customFormat="false" ht="23.85" hidden="false" customHeight="false" outlineLevel="0" collapsed="false">
      <c r="A6" s="16" t="s">
        <v>77</v>
      </c>
      <c r="B6" s="17" t="s">
        <v>55</v>
      </c>
      <c r="C6" s="17" t="s">
        <v>78</v>
      </c>
      <c r="D6" s="17" t="s">
        <v>79</v>
      </c>
      <c r="E6" s="17" t="s">
        <v>80</v>
      </c>
      <c r="I6" s="19" t="n">
        <f aca="false">(SUMIFS('Tickets (raw)'!$G$3:$G$142,'Tickets (raw)'!$D$3:$D$142,"Payout question"))/60</f>
        <v>14.5833333333333</v>
      </c>
      <c r="J6" s="20" t="n">
        <f aca="false">I6</f>
        <v>14.5833333333333</v>
      </c>
      <c r="K6" s="20" t="n">
        <f aca="false">I6*2</f>
        <v>29.1666666666667</v>
      </c>
      <c r="L6" s="28" t="s">
        <v>59</v>
      </c>
      <c r="M6" s="22" t="n">
        <f aca="false">COUNTIFS(Evidence!$A$3:$A$52,A6)</f>
        <v>3</v>
      </c>
      <c r="N6" s="23" t="n">
        <v>2</v>
      </c>
      <c r="O6" s="23" t="n">
        <v>2</v>
      </c>
      <c r="P6" s="23" t="n">
        <v>1</v>
      </c>
      <c r="Q6" s="23" t="n">
        <v>1</v>
      </c>
      <c r="R6" s="23" t="n">
        <v>2</v>
      </c>
      <c r="S6" s="24" t="n">
        <f aca="false">SUM(N6:R6)</f>
        <v>8</v>
      </c>
      <c r="T6" s="17" t="s">
        <v>81</v>
      </c>
      <c r="U6" s="17" t="s">
        <v>82</v>
      </c>
      <c r="V6" s="26" t="n">
        <f aca="false">S6*1000+N(I6)+(100-ROW())/10000</f>
        <v>8014.59273333333</v>
      </c>
      <c r="W6" s="29" t="n">
        <f aca="false">RANK(V6,$V$3:$V$10)</f>
        <v>6</v>
      </c>
      <c r="X6" s="17" t="s">
        <v>83</v>
      </c>
      <c r="Y6" s="17" t="s">
        <v>84</v>
      </c>
      <c r="Z6" s="17" t="s">
        <v>85</v>
      </c>
      <c r="AA6" s="17" t="s">
        <v>86</v>
      </c>
      <c r="AB6" s="17" t="s">
        <v>87</v>
      </c>
    </row>
    <row r="7" customFormat="false" ht="35.05" hidden="false" customHeight="false" outlineLevel="0" collapsed="false">
      <c r="A7" s="16" t="s">
        <v>88</v>
      </c>
      <c r="B7" s="17" t="s">
        <v>55</v>
      </c>
      <c r="C7" s="17" t="s">
        <v>89</v>
      </c>
      <c r="D7" s="17" t="s">
        <v>79</v>
      </c>
      <c r="E7" s="17" t="s">
        <v>90</v>
      </c>
      <c r="I7" s="19" t="n">
        <f aca="false">(SUMIFS('Tickets (raw)'!$G$3:$G$142,'Tickets (raw)'!$D$3:$D$142,"Login issue")+SUMIFS('Tickets (raw)'!$G$3:$G$142,'Tickets (raw)'!$D$3:$D$142,"Account access")+SUMIFS('Tickets (raw)'!$G$3:$G$142,'Tickets (raw)'!$D$3:$D$142,"Content takedown"))/60</f>
        <v>7.25</v>
      </c>
      <c r="J7" s="20" t="n">
        <f aca="false">I7</f>
        <v>7.25</v>
      </c>
      <c r="K7" s="20" t="n">
        <f aca="false">I7*2</f>
        <v>14.5</v>
      </c>
      <c r="L7" s="28" t="s">
        <v>59</v>
      </c>
      <c r="M7" s="22" t="n">
        <f aca="false">COUNTIFS(Evidence!$A$3:$A$52,A7)</f>
        <v>0</v>
      </c>
      <c r="N7" s="23" t="n">
        <v>1</v>
      </c>
      <c r="O7" s="23" t="n">
        <v>1</v>
      </c>
      <c r="P7" s="23" t="n">
        <v>1</v>
      </c>
      <c r="Q7" s="23" t="n">
        <v>1</v>
      </c>
      <c r="R7" s="23" t="n">
        <v>1</v>
      </c>
      <c r="S7" s="24" t="n">
        <f aca="false">SUM(N7:R7)</f>
        <v>5</v>
      </c>
      <c r="T7" s="17" t="s">
        <v>91</v>
      </c>
      <c r="U7" s="17" t="s">
        <v>61</v>
      </c>
      <c r="V7" s="26" t="n">
        <f aca="false">S7*1000+N(I7)+(100-ROW())/10000</f>
        <v>5007.2593</v>
      </c>
      <c r="W7" s="29" t="n">
        <f aca="false">RANK(V7,$V$3:$V$10)</f>
        <v>8</v>
      </c>
      <c r="X7" s="17" t="s">
        <v>92</v>
      </c>
      <c r="Y7" s="17" t="s">
        <v>93</v>
      </c>
      <c r="Z7" s="17" t="s">
        <v>85</v>
      </c>
      <c r="AA7" s="17" t="s">
        <v>94</v>
      </c>
      <c r="AB7" s="17" t="s">
        <v>95</v>
      </c>
    </row>
    <row r="8" customFormat="false" ht="23.85" hidden="false" customHeight="false" outlineLevel="0" collapsed="false">
      <c r="A8" s="16" t="s">
        <v>96</v>
      </c>
      <c r="B8" s="17" t="s">
        <v>97</v>
      </c>
      <c r="C8" s="17" t="s">
        <v>98</v>
      </c>
      <c r="D8" s="17" t="s">
        <v>99</v>
      </c>
      <c r="E8" s="17" t="s">
        <v>100</v>
      </c>
      <c r="I8" s="17"/>
      <c r="L8" s="30" t="s">
        <v>101</v>
      </c>
      <c r="M8" s="22" t="n">
        <f aca="false">COUNTIFS(Evidence!$A$3:$A$52,A8)</f>
        <v>11</v>
      </c>
      <c r="N8" s="23" t="n">
        <v>2</v>
      </c>
      <c r="O8" s="23" t="n">
        <v>3</v>
      </c>
      <c r="P8" s="23" t="n">
        <v>3</v>
      </c>
      <c r="Q8" s="23" t="n">
        <v>2</v>
      </c>
      <c r="R8" s="23" t="n">
        <v>1</v>
      </c>
      <c r="S8" s="24" t="n">
        <f aca="false">SUM(N8:R8)</f>
        <v>11</v>
      </c>
      <c r="T8" s="17" t="s">
        <v>102</v>
      </c>
      <c r="U8" s="17" t="s">
        <v>103</v>
      </c>
      <c r="V8" s="26" t="n">
        <f aca="false">S8*1000+N(I8)+(100-ROW())/10000</f>
        <v>11000.0092</v>
      </c>
      <c r="W8" s="29" t="n">
        <f aca="false">RANK(V8,$V$3:$V$10)</f>
        <v>2</v>
      </c>
      <c r="X8" s="17" t="s">
        <v>104</v>
      </c>
      <c r="Y8" s="17" t="s">
        <v>105</v>
      </c>
      <c r="Z8" s="17" t="s">
        <v>106</v>
      </c>
      <c r="AA8" s="17" t="s">
        <v>107</v>
      </c>
      <c r="AB8" s="17" t="s">
        <v>108</v>
      </c>
    </row>
    <row r="9" customFormat="false" ht="23.85" hidden="false" customHeight="false" outlineLevel="0" collapsed="false">
      <c r="A9" s="16" t="s">
        <v>109</v>
      </c>
      <c r="B9" s="17" t="s">
        <v>110</v>
      </c>
      <c r="C9" s="17" t="s">
        <v>111</v>
      </c>
      <c r="D9" s="17" t="s">
        <v>112</v>
      </c>
      <c r="E9" s="17" t="s">
        <v>100</v>
      </c>
      <c r="I9" s="17"/>
      <c r="L9" s="30" t="s">
        <v>101</v>
      </c>
      <c r="M9" s="22" t="n">
        <f aca="false">COUNTIFS(Evidence!$A$3:$A$52,A9)</f>
        <v>4</v>
      </c>
      <c r="N9" s="23" t="n">
        <v>2</v>
      </c>
      <c r="O9" s="23" t="n">
        <v>1</v>
      </c>
      <c r="P9" s="23" t="n">
        <v>2</v>
      </c>
      <c r="Q9" s="23" t="n">
        <v>2</v>
      </c>
      <c r="R9" s="23" t="n">
        <v>2</v>
      </c>
      <c r="S9" s="24" t="n">
        <f aca="false">SUM(N9:R9)</f>
        <v>9</v>
      </c>
      <c r="T9" s="17" t="s">
        <v>113</v>
      </c>
      <c r="U9" s="25" t="s">
        <v>114</v>
      </c>
      <c r="V9" s="26" t="n">
        <f aca="false">S9*1000+N(I9)+(100-ROW())/10000</f>
        <v>9000.0091</v>
      </c>
      <c r="W9" s="29" t="n">
        <f aca="false">RANK(V9,$V$3:$V$10)</f>
        <v>4</v>
      </c>
      <c r="X9" s="17" t="s">
        <v>115</v>
      </c>
      <c r="Y9" s="17" t="s">
        <v>93</v>
      </c>
      <c r="Z9" s="17" t="s">
        <v>116</v>
      </c>
      <c r="AA9" s="17" t="s">
        <v>117</v>
      </c>
      <c r="AB9" s="17" t="s">
        <v>118</v>
      </c>
    </row>
    <row r="10" customFormat="false" ht="35.05" hidden="false" customHeight="false" outlineLevel="0" collapsed="false">
      <c r="A10" s="16" t="s">
        <v>119</v>
      </c>
      <c r="B10" s="17" t="s">
        <v>41</v>
      </c>
      <c r="C10" s="17" t="s">
        <v>120</v>
      </c>
      <c r="D10" s="17" t="s">
        <v>121</v>
      </c>
      <c r="E10" s="17" t="s">
        <v>100</v>
      </c>
      <c r="I10" s="17"/>
      <c r="L10" s="30" t="s">
        <v>101</v>
      </c>
      <c r="M10" s="22" t="n">
        <f aca="false">COUNTIFS(Evidence!$A$3:$A$52,A10)</f>
        <v>7</v>
      </c>
      <c r="N10" s="23" t="n">
        <v>1</v>
      </c>
      <c r="O10" s="23" t="n">
        <v>2</v>
      </c>
      <c r="P10" s="23" t="n">
        <v>2</v>
      </c>
      <c r="Q10" s="23" t="n">
        <v>3</v>
      </c>
      <c r="R10" s="23" t="n">
        <v>1</v>
      </c>
      <c r="S10" s="24" t="n">
        <f aca="false">SUM(N10:R10)</f>
        <v>9</v>
      </c>
      <c r="T10" s="17" t="s">
        <v>122</v>
      </c>
      <c r="U10" s="17" t="s">
        <v>123</v>
      </c>
      <c r="V10" s="26" t="n">
        <f aca="false">S10*1000+N(I10)+(100-ROW())/10000</f>
        <v>9000.009</v>
      </c>
      <c r="W10" s="29" t="n">
        <f aca="false">RANK(V10,$V$3:$V$10)</f>
        <v>5</v>
      </c>
      <c r="X10" s="17" t="s">
        <v>124</v>
      </c>
      <c r="Y10" s="17" t="s">
        <v>125</v>
      </c>
      <c r="Z10" s="17" t="s">
        <v>126</v>
      </c>
      <c r="AA10" s="17" t="s">
        <v>127</v>
      </c>
      <c r="AB10" s="17" t="s">
        <v>108</v>
      </c>
    </row>
    <row r="12" customFormat="false" ht="15" hidden="false" customHeight="false" outlineLevel="0" collapsed="false">
      <c r="A12" s="8" t="s">
        <v>128</v>
      </c>
      <c r="I12" s="31" t="n">
        <f aca="false">SUM(I3:I10)</f>
        <v>142.5</v>
      </c>
      <c r="J12" s="31" t="n">
        <f aca="false">SUM(J3:J10)</f>
        <v>115.5</v>
      </c>
      <c r="K12" s="31" t="n">
        <f aca="false">SUM(K3:K10)</f>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2"/>
    <col collapsed="false" customWidth="true" hidden="false" outlineLevel="0" max="3" min="3" style="0" width="26"/>
    <col collapsed="false" customWidth="true" hidden="false" outlineLevel="0" max="4" min="4" style="0" width="40"/>
    <col collapsed="false" customWidth="true" hidden="false" outlineLevel="0" max="5" min="5" style="0" width="36"/>
  </cols>
  <sheetData>
    <row r="1" customFormat="false" ht="15" hidden="false" customHeight="false" outlineLevel="0" collapsed="false">
      <c r="A1" s="8" t="s">
        <v>129</v>
      </c>
    </row>
    <row r="2" customFormat="false" ht="15" hidden="false" customHeight="false" outlineLevel="0" collapsed="false">
      <c r="A2" s="15" t="s">
        <v>130</v>
      </c>
      <c r="B2" s="15" t="s">
        <v>131</v>
      </c>
      <c r="C2" s="15" t="s">
        <v>132</v>
      </c>
      <c r="D2" s="15" t="s">
        <v>133</v>
      </c>
      <c r="E2" s="15" t="s">
        <v>134</v>
      </c>
    </row>
    <row r="3" customFormat="false" ht="23.85" hidden="false" customHeight="false" outlineLevel="0" collapsed="false">
      <c r="A3" s="17" t="s">
        <v>27</v>
      </c>
      <c r="B3" s="17" t="s">
        <v>135</v>
      </c>
      <c r="C3" s="17" t="s">
        <v>136</v>
      </c>
      <c r="D3" s="17" t="s">
        <v>137</v>
      </c>
      <c r="E3" s="17" t="s">
        <v>138</v>
      </c>
    </row>
    <row r="4" customFormat="false" ht="15" hidden="false" customHeight="false" outlineLevel="0" collapsed="false">
      <c r="A4" s="17" t="s">
        <v>28</v>
      </c>
      <c r="B4" s="17" t="s">
        <v>139</v>
      </c>
      <c r="C4" s="17" t="s">
        <v>140</v>
      </c>
      <c r="D4" s="17" t="s">
        <v>141</v>
      </c>
      <c r="E4" s="17" t="s">
        <v>142</v>
      </c>
    </row>
    <row r="5" customFormat="false" ht="15" hidden="false" customHeight="false" outlineLevel="0" collapsed="false">
      <c r="A5" s="17" t="s">
        <v>29</v>
      </c>
      <c r="B5" s="17" t="s">
        <v>143</v>
      </c>
      <c r="C5" s="17" t="s">
        <v>144</v>
      </c>
      <c r="D5" s="17" t="s">
        <v>145</v>
      </c>
      <c r="E5" s="17" t="s">
        <v>146</v>
      </c>
    </row>
    <row r="6" customFormat="false" ht="15" hidden="false" customHeight="false" outlineLevel="0" collapsed="false">
      <c r="A6" s="17" t="s">
        <v>30</v>
      </c>
      <c r="B6" s="17" t="s">
        <v>147</v>
      </c>
      <c r="C6" s="17" t="s">
        <v>148</v>
      </c>
      <c r="D6" s="17" t="s">
        <v>149</v>
      </c>
      <c r="E6" s="17" t="s">
        <v>150</v>
      </c>
    </row>
    <row r="7" customFormat="false" ht="15" hidden="false" customHeight="false" outlineLevel="0" collapsed="false">
      <c r="A7" s="17" t="s">
        <v>31</v>
      </c>
      <c r="B7" s="17" t="s">
        <v>151</v>
      </c>
      <c r="C7" s="17" t="s">
        <v>152</v>
      </c>
      <c r="D7" s="17" t="s">
        <v>153</v>
      </c>
      <c r="E7" s="17" t="s">
        <v>154</v>
      </c>
    </row>
    <row r="9" customFormat="false" ht="15" hidden="false" customHeight="false" outlineLevel="0" collapsed="false">
      <c r="A9" s="2"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6"/>
    <col collapsed="false" customWidth="true" hidden="false" outlineLevel="0" max="4" min="4" style="0" width="18"/>
    <col collapsed="false" customWidth="true" hidden="false" outlineLevel="0" max="5" min="5" style="0" width="11"/>
    <col collapsed="false" customWidth="true" hidden="false" outlineLevel="0" max="6" min="6" style="0" width="80"/>
    <col collapsed="false" customWidth="true" hidden="false" outlineLevel="0" max="7" min="7" style="0" width="52"/>
  </cols>
  <sheetData>
    <row r="1" customFormat="false" ht="15" hidden="false" customHeight="false" outlineLevel="0" collapsed="false">
      <c r="A1" s="8" t="s">
        <v>156</v>
      </c>
    </row>
    <row r="2" customFormat="false" ht="26.85" hidden="false" customHeight="false" outlineLevel="0" collapsed="false">
      <c r="A2" s="15" t="s">
        <v>3</v>
      </c>
      <c r="B2" s="15" t="s">
        <v>157</v>
      </c>
      <c r="C2" s="15" t="s">
        <v>158</v>
      </c>
      <c r="D2" s="15" t="s">
        <v>159</v>
      </c>
      <c r="E2" s="15" t="s">
        <v>160</v>
      </c>
      <c r="F2" s="15" t="s">
        <v>161</v>
      </c>
      <c r="G2" s="15" t="s">
        <v>162</v>
      </c>
    </row>
    <row r="3" customFormat="false" ht="23.85" hidden="false" customHeight="false" outlineLevel="0" collapsed="false">
      <c r="A3" s="17" t="s">
        <v>40</v>
      </c>
      <c r="B3" s="17" t="s">
        <v>163</v>
      </c>
      <c r="C3" s="17" t="n">
        <v>97</v>
      </c>
      <c r="D3" s="17" t="s">
        <v>121</v>
      </c>
      <c r="E3" s="32" t="n">
        <v>46134</v>
      </c>
      <c r="F3" s="17" t="s">
        <v>164</v>
      </c>
      <c r="G3" s="17" t="s">
        <v>165</v>
      </c>
    </row>
    <row r="4" customFormat="false" ht="35.05" hidden="false" customHeight="false" outlineLevel="0" collapsed="false">
      <c r="A4" s="17" t="s">
        <v>40</v>
      </c>
      <c r="B4" s="17" t="s">
        <v>163</v>
      </c>
      <c r="C4" s="17" t="n">
        <v>100</v>
      </c>
      <c r="D4" s="17" t="s">
        <v>121</v>
      </c>
      <c r="E4" s="32" t="n">
        <v>46134</v>
      </c>
      <c r="F4" s="17" t="s">
        <v>166</v>
      </c>
      <c r="G4" s="17" t="s">
        <v>167</v>
      </c>
    </row>
    <row r="5" customFormat="false" ht="35.05" hidden="false" customHeight="false" outlineLevel="0" collapsed="false">
      <c r="A5" s="17" t="s">
        <v>40</v>
      </c>
      <c r="B5" s="17" t="s">
        <v>163</v>
      </c>
      <c r="C5" s="17" t="n">
        <v>108</v>
      </c>
      <c r="D5" s="17" t="s">
        <v>121</v>
      </c>
      <c r="E5" s="32" t="n">
        <v>46144</v>
      </c>
      <c r="F5" s="17" t="s">
        <v>168</v>
      </c>
      <c r="G5" s="17" t="s">
        <v>169</v>
      </c>
    </row>
    <row r="6" customFormat="false" ht="23.85" hidden="false" customHeight="false" outlineLevel="0" collapsed="false">
      <c r="A6" s="17" t="s">
        <v>40</v>
      </c>
      <c r="B6" s="17" t="s">
        <v>163</v>
      </c>
      <c r="C6" s="17" t="n">
        <v>111</v>
      </c>
      <c r="D6" s="17" t="s">
        <v>170</v>
      </c>
      <c r="E6" s="32" t="n">
        <v>46144</v>
      </c>
      <c r="F6" s="17" t="s">
        <v>171</v>
      </c>
      <c r="G6" s="17" t="s">
        <v>172</v>
      </c>
    </row>
    <row r="7" customFormat="false" ht="23.85" hidden="false" customHeight="false" outlineLevel="0" collapsed="false">
      <c r="A7" s="17" t="s">
        <v>40</v>
      </c>
      <c r="B7" s="17" t="s">
        <v>163</v>
      </c>
      <c r="C7" s="17" t="n">
        <v>114</v>
      </c>
      <c r="D7" s="17" t="s">
        <v>121</v>
      </c>
      <c r="E7" s="32" t="n">
        <v>46144</v>
      </c>
      <c r="F7" s="17" t="s">
        <v>173</v>
      </c>
      <c r="G7" s="17" t="s">
        <v>174</v>
      </c>
    </row>
    <row r="8" customFormat="false" ht="23.85" hidden="false" customHeight="false" outlineLevel="0" collapsed="false">
      <c r="A8" s="17" t="s">
        <v>40</v>
      </c>
      <c r="B8" s="17" t="s">
        <v>163</v>
      </c>
      <c r="C8" s="17" t="n">
        <v>158</v>
      </c>
      <c r="D8" s="17" t="s">
        <v>121</v>
      </c>
      <c r="E8" s="32" t="n">
        <v>46186</v>
      </c>
      <c r="F8" s="17" t="s">
        <v>175</v>
      </c>
      <c r="G8" s="17" t="s">
        <v>176</v>
      </c>
    </row>
    <row r="9" customFormat="false" ht="23.85" hidden="false" customHeight="false" outlineLevel="0" collapsed="false">
      <c r="A9" s="17" t="s">
        <v>40</v>
      </c>
      <c r="B9" s="17" t="s">
        <v>177</v>
      </c>
      <c r="C9" s="17" t="n">
        <v>11</v>
      </c>
      <c r="D9" s="17" t="s">
        <v>178</v>
      </c>
      <c r="E9" s="32" t="n">
        <v>46170</v>
      </c>
      <c r="F9" s="17" t="s">
        <v>179</v>
      </c>
      <c r="G9" s="17" t="s">
        <v>180</v>
      </c>
    </row>
    <row r="10" customFormat="false" ht="35.05" hidden="false" customHeight="false" outlineLevel="0" collapsed="false">
      <c r="A10" s="17" t="s">
        <v>40</v>
      </c>
      <c r="B10" s="17" t="s">
        <v>177</v>
      </c>
      <c r="C10" s="17" t="n">
        <v>12</v>
      </c>
      <c r="D10" s="17" t="s">
        <v>178</v>
      </c>
      <c r="E10" s="32" t="n">
        <v>46170</v>
      </c>
      <c r="F10" s="17" t="s">
        <v>181</v>
      </c>
      <c r="G10" s="17" t="s">
        <v>182</v>
      </c>
    </row>
    <row r="11" customFormat="false" ht="35.05" hidden="false" customHeight="false" outlineLevel="0" collapsed="false">
      <c r="A11" s="17" t="s">
        <v>40</v>
      </c>
      <c r="B11" s="17" t="s">
        <v>177</v>
      </c>
      <c r="C11" s="17" t="n">
        <v>13</v>
      </c>
      <c r="D11" s="17" t="s">
        <v>178</v>
      </c>
      <c r="E11" s="32" t="n">
        <v>46170</v>
      </c>
      <c r="F11" s="17" t="s">
        <v>183</v>
      </c>
      <c r="G11" s="17" t="s">
        <v>184</v>
      </c>
    </row>
    <row r="12" customFormat="false" ht="23.85" hidden="false" customHeight="false" outlineLevel="0" collapsed="false">
      <c r="A12" s="17" t="s">
        <v>40</v>
      </c>
      <c r="B12" s="17" t="s">
        <v>177</v>
      </c>
      <c r="C12" s="17" t="n">
        <v>36</v>
      </c>
      <c r="D12" s="17" t="s">
        <v>178</v>
      </c>
      <c r="E12" s="32" t="n">
        <v>46170</v>
      </c>
      <c r="F12" s="17" t="s">
        <v>185</v>
      </c>
      <c r="G12" s="17" t="s">
        <v>186</v>
      </c>
    </row>
    <row r="13" customFormat="false" ht="35.05" hidden="false" customHeight="false" outlineLevel="0" collapsed="false">
      <c r="A13" s="17" t="s">
        <v>40</v>
      </c>
      <c r="B13" s="17" t="s">
        <v>187</v>
      </c>
      <c r="C13" s="17" t="n">
        <v>35</v>
      </c>
      <c r="D13" s="17" t="s">
        <v>188</v>
      </c>
      <c r="E13" s="32" t="n">
        <v>46184</v>
      </c>
      <c r="F13" s="17" t="s">
        <v>189</v>
      </c>
      <c r="G13" s="17" t="s">
        <v>190</v>
      </c>
    </row>
    <row r="14" customFormat="false" ht="15" hidden="false" customHeight="false" outlineLevel="0" collapsed="false">
      <c r="A14" s="17" t="s">
        <v>40</v>
      </c>
      <c r="B14" s="17" t="s">
        <v>191</v>
      </c>
      <c r="C14" s="17" t="n">
        <v>2</v>
      </c>
      <c r="D14" s="17"/>
      <c r="E14" s="32"/>
      <c r="F14" s="17" t="s">
        <v>192</v>
      </c>
      <c r="G14" s="17" t="s">
        <v>193</v>
      </c>
    </row>
    <row r="15" customFormat="false" ht="15" hidden="false" customHeight="false" outlineLevel="0" collapsed="false">
      <c r="A15" s="17" t="s">
        <v>40</v>
      </c>
      <c r="B15" s="17" t="s">
        <v>191</v>
      </c>
      <c r="C15" s="17" t="n">
        <v>5</v>
      </c>
      <c r="D15" s="17"/>
      <c r="E15" s="32"/>
      <c r="F15" s="17" t="s">
        <v>194</v>
      </c>
      <c r="G15" s="17" t="s">
        <v>195</v>
      </c>
    </row>
    <row r="16" customFormat="false" ht="23.85" hidden="false" customHeight="false" outlineLevel="0" collapsed="false">
      <c r="A16" s="17" t="s">
        <v>54</v>
      </c>
      <c r="B16" s="17" t="s">
        <v>163</v>
      </c>
      <c r="C16" s="17" t="n">
        <v>171</v>
      </c>
      <c r="D16" s="17" t="s">
        <v>196</v>
      </c>
      <c r="E16" s="32" t="n">
        <v>46140</v>
      </c>
      <c r="F16" s="17" t="s">
        <v>197</v>
      </c>
      <c r="G16" s="17" t="s">
        <v>198</v>
      </c>
    </row>
    <row r="17" customFormat="false" ht="23.85" hidden="false" customHeight="false" outlineLevel="0" collapsed="false">
      <c r="A17" s="17" t="s">
        <v>54</v>
      </c>
      <c r="B17" s="17" t="s">
        <v>163</v>
      </c>
      <c r="C17" s="17" t="n">
        <v>176</v>
      </c>
      <c r="D17" s="17" t="s">
        <v>196</v>
      </c>
      <c r="E17" s="32" t="n">
        <v>46148</v>
      </c>
      <c r="F17" s="17" t="s">
        <v>199</v>
      </c>
      <c r="G17" s="17" t="s">
        <v>200</v>
      </c>
    </row>
    <row r="18" customFormat="false" ht="23.85" hidden="false" customHeight="false" outlineLevel="0" collapsed="false">
      <c r="A18" s="17" t="s">
        <v>54</v>
      </c>
      <c r="B18" s="17" t="s">
        <v>163</v>
      </c>
      <c r="C18" s="17" t="n">
        <v>201</v>
      </c>
      <c r="D18" s="17" t="s">
        <v>196</v>
      </c>
      <c r="E18" s="32" t="n">
        <v>46177</v>
      </c>
      <c r="F18" s="17" t="s">
        <v>201</v>
      </c>
      <c r="G18" s="17" t="s">
        <v>202</v>
      </c>
    </row>
    <row r="19" customFormat="false" ht="15" hidden="false" customHeight="false" outlineLevel="0" collapsed="false">
      <c r="A19" s="17" t="s">
        <v>54</v>
      </c>
      <c r="B19" s="17" t="s">
        <v>163</v>
      </c>
      <c r="C19" s="17" t="n">
        <v>204</v>
      </c>
      <c r="D19" s="17" t="s">
        <v>203</v>
      </c>
      <c r="E19" s="32" t="n">
        <v>46177</v>
      </c>
      <c r="F19" s="17" t="s">
        <v>204</v>
      </c>
      <c r="G19" s="17" t="s">
        <v>205</v>
      </c>
    </row>
    <row r="20" customFormat="false" ht="23.85" hidden="false" customHeight="false" outlineLevel="0" collapsed="false">
      <c r="A20" s="17" t="s">
        <v>67</v>
      </c>
      <c r="B20" s="17" t="s">
        <v>163</v>
      </c>
      <c r="C20" s="17" t="n">
        <v>165</v>
      </c>
      <c r="D20" s="17" t="s">
        <v>196</v>
      </c>
      <c r="E20" s="32" t="n">
        <v>46140</v>
      </c>
      <c r="F20" s="17" t="s">
        <v>206</v>
      </c>
      <c r="G20" s="17" t="s">
        <v>207</v>
      </c>
    </row>
    <row r="21" customFormat="false" ht="23.85" hidden="false" customHeight="false" outlineLevel="0" collapsed="false">
      <c r="A21" s="17" t="s">
        <v>67</v>
      </c>
      <c r="B21" s="17" t="s">
        <v>163</v>
      </c>
      <c r="C21" s="17" t="n">
        <v>168</v>
      </c>
      <c r="D21" s="17" t="s">
        <v>208</v>
      </c>
      <c r="E21" s="32" t="n">
        <v>46140</v>
      </c>
      <c r="F21" s="17" t="s">
        <v>209</v>
      </c>
      <c r="G21" s="17" t="s">
        <v>210</v>
      </c>
    </row>
    <row r="22" customFormat="false" ht="23.85" hidden="false" customHeight="false" outlineLevel="0" collapsed="false">
      <c r="A22" s="17" t="s">
        <v>67</v>
      </c>
      <c r="B22" s="17" t="s">
        <v>163</v>
      </c>
      <c r="C22" s="17" t="n">
        <v>193</v>
      </c>
      <c r="D22" s="17" t="s">
        <v>196</v>
      </c>
      <c r="E22" s="32" t="n">
        <v>46163</v>
      </c>
      <c r="F22" s="17" t="s">
        <v>211</v>
      </c>
      <c r="G22" s="17" t="s">
        <v>212</v>
      </c>
    </row>
    <row r="23" customFormat="false" ht="15" hidden="false" customHeight="false" outlineLevel="0" collapsed="false">
      <c r="A23" s="17" t="s">
        <v>67</v>
      </c>
      <c r="B23" s="17" t="s">
        <v>163</v>
      </c>
      <c r="C23" s="17" t="n">
        <v>196</v>
      </c>
      <c r="D23" s="17" t="s">
        <v>208</v>
      </c>
      <c r="E23" s="32" t="n">
        <v>46163</v>
      </c>
      <c r="F23" s="17" t="s">
        <v>213</v>
      </c>
      <c r="G23" s="17" t="s">
        <v>214</v>
      </c>
    </row>
    <row r="24" customFormat="false" ht="23.85" hidden="false" customHeight="false" outlineLevel="0" collapsed="false">
      <c r="A24" s="17" t="s">
        <v>77</v>
      </c>
      <c r="B24" s="17" t="s">
        <v>163</v>
      </c>
      <c r="C24" s="17" t="n">
        <v>176</v>
      </c>
      <c r="D24" s="17" t="s">
        <v>196</v>
      </c>
      <c r="E24" s="32" t="n">
        <v>46148</v>
      </c>
      <c r="F24" s="17" t="s">
        <v>199</v>
      </c>
      <c r="G24" s="17" t="s">
        <v>200</v>
      </c>
    </row>
    <row r="25" customFormat="false" ht="35.05" hidden="false" customHeight="false" outlineLevel="0" collapsed="false">
      <c r="A25" s="17" t="s">
        <v>77</v>
      </c>
      <c r="B25" s="17" t="s">
        <v>163</v>
      </c>
      <c r="C25" s="17" t="n">
        <v>100</v>
      </c>
      <c r="D25" s="17" t="s">
        <v>121</v>
      </c>
      <c r="E25" s="32" t="n">
        <v>46134</v>
      </c>
      <c r="F25" s="17" t="s">
        <v>166</v>
      </c>
      <c r="G25" s="17" t="s">
        <v>167</v>
      </c>
    </row>
    <row r="26" customFormat="false" ht="15" hidden="false" customHeight="false" outlineLevel="0" collapsed="false">
      <c r="A26" s="17" t="s">
        <v>77</v>
      </c>
      <c r="B26" s="17" t="s">
        <v>191</v>
      </c>
      <c r="C26" s="17" t="n">
        <v>34</v>
      </c>
      <c r="D26" s="17"/>
      <c r="E26" s="32"/>
      <c r="F26" s="17" t="s">
        <v>215</v>
      </c>
      <c r="G26" s="17" t="s">
        <v>216</v>
      </c>
    </row>
    <row r="27" customFormat="false" ht="35.05" hidden="false" customHeight="false" outlineLevel="0" collapsed="false">
      <c r="A27" s="17" t="s">
        <v>96</v>
      </c>
      <c r="B27" s="17" t="s">
        <v>163</v>
      </c>
      <c r="C27" s="17" t="n">
        <v>53</v>
      </c>
      <c r="D27" s="17" t="s">
        <v>217</v>
      </c>
      <c r="E27" s="32" t="n">
        <v>46170</v>
      </c>
      <c r="F27" s="17" t="s">
        <v>218</v>
      </c>
      <c r="G27" s="17" t="s">
        <v>219</v>
      </c>
    </row>
    <row r="28" customFormat="false" ht="23.85" hidden="false" customHeight="false" outlineLevel="0" collapsed="false">
      <c r="A28" s="17" t="s">
        <v>96</v>
      </c>
      <c r="B28" s="17" t="s">
        <v>163</v>
      </c>
      <c r="C28" s="17" t="n">
        <v>59</v>
      </c>
      <c r="D28" s="17" t="s">
        <v>217</v>
      </c>
      <c r="E28" s="32" t="n">
        <v>46170</v>
      </c>
      <c r="F28" s="17" t="s">
        <v>220</v>
      </c>
      <c r="G28" s="17" t="s">
        <v>221</v>
      </c>
    </row>
    <row r="29" customFormat="false" ht="23.85" hidden="false" customHeight="false" outlineLevel="0" collapsed="false">
      <c r="A29" s="17" t="s">
        <v>96</v>
      </c>
      <c r="B29" s="17" t="s">
        <v>163</v>
      </c>
      <c r="C29" s="17" t="n">
        <v>130</v>
      </c>
      <c r="D29" s="17" t="s">
        <v>121</v>
      </c>
      <c r="E29" s="32" t="n">
        <v>46164</v>
      </c>
      <c r="F29" s="17" t="s">
        <v>222</v>
      </c>
      <c r="G29" s="17" t="s">
        <v>223</v>
      </c>
    </row>
    <row r="30" customFormat="false" ht="35.05" hidden="false" customHeight="false" outlineLevel="0" collapsed="false">
      <c r="A30" s="17" t="s">
        <v>96</v>
      </c>
      <c r="B30" s="17" t="s">
        <v>163</v>
      </c>
      <c r="C30" s="17" t="n">
        <v>136</v>
      </c>
      <c r="D30" s="17" t="s">
        <v>217</v>
      </c>
      <c r="E30" s="32" t="n">
        <v>46164</v>
      </c>
      <c r="F30" s="17" t="s">
        <v>224</v>
      </c>
      <c r="G30" s="17" t="s">
        <v>225</v>
      </c>
    </row>
    <row r="31" customFormat="false" ht="23.85" hidden="false" customHeight="false" outlineLevel="0" collapsed="false">
      <c r="A31" s="17" t="s">
        <v>96</v>
      </c>
      <c r="B31" s="17" t="s">
        <v>226</v>
      </c>
      <c r="C31" s="17" t="n">
        <v>13</v>
      </c>
      <c r="D31" s="17" t="s">
        <v>227</v>
      </c>
      <c r="E31" s="32" t="n">
        <v>46162</v>
      </c>
      <c r="F31" s="17" t="s">
        <v>228</v>
      </c>
      <c r="G31" s="17" t="s">
        <v>229</v>
      </c>
    </row>
    <row r="32" customFormat="false" ht="46.25" hidden="false" customHeight="false" outlineLevel="0" collapsed="false">
      <c r="A32" s="17" t="s">
        <v>96</v>
      </c>
      <c r="B32" s="17" t="s">
        <v>226</v>
      </c>
      <c r="C32" s="17" t="n">
        <v>16</v>
      </c>
      <c r="D32" s="17" t="s">
        <v>227</v>
      </c>
      <c r="E32" s="32" t="n">
        <v>46162</v>
      </c>
      <c r="F32" s="17" t="s">
        <v>230</v>
      </c>
      <c r="G32" s="17" t="s">
        <v>231</v>
      </c>
    </row>
    <row r="33" customFormat="false" ht="23.85" hidden="false" customHeight="false" outlineLevel="0" collapsed="false">
      <c r="A33" s="17" t="s">
        <v>96</v>
      </c>
      <c r="B33" s="17" t="s">
        <v>226</v>
      </c>
      <c r="C33" s="17" t="n">
        <v>18</v>
      </c>
      <c r="D33" s="17" t="s">
        <v>227</v>
      </c>
      <c r="E33" s="32" t="n">
        <v>46162</v>
      </c>
      <c r="F33" s="17" t="s">
        <v>232</v>
      </c>
      <c r="G33" s="17" t="s">
        <v>233</v>
      </c>
    </row>
    <row r="34" customFormat="false" ht="35.05" hidden="false" customHeight="false" outlineLevel="0" collapsed="false">
      <c r="A34" s="17" t="s">
        <v>96</v>
      </c>
      <c r="B34" s="17" t="s">
        <v>177</v>
      </c>
      <c r="C34" s="17" t="n">
        <v>18</v>
      </c>
      <c r="D34" s="17" t="s">
        <v>178</v>
      </c>
      <c r="E34" s="32" t="n">
        <v>46170</v>
      </c>
      <c r="F34" s="17" t="s">
        <v>234</v>
      </c>
      <c r="G34" s="17" t="s">
        <v>235</v>
      </c>
    </row>
    <row r="35" customFormat="false" ht="35.05" hidden="false" customHeight="false" outlineLevel="0" collapsed="false">
      <c r="A35" s="17" t="s">
        <v>96</v>
      </c>
      <c r="B35" s="17" t="s">
        <v>177</v>
      </c>
      <c r="C35" s="17" t="n">
        <v>19</v>
      </c>
      <c r="D35" s="17" t="s">
        <v>178</v>
      </c>
      <c r="E35" s="32" t="n">
        <v>46170</v>
      </c>
      <c r="F35" s="17" t="s">
        <v>236</v>
      </c>
      <c r="G35" s="17" t="s">
        <v>237</v>
      </c>
    </row>
    <row r="36" customFormat="false" ht="35.05" hidden="false" customHeight="false" outlineLevel="0" collapsed="false">
      <c r="A36" s="17" t="s">
        <v>96</v>
      </c>
      <c r="B36" s="17" t="s">
        <v>187</v>
      </c>
      <c r="C36" s="17" t="n">
        <v>30</v>
      </c>
      <c r="D36" s="17" t="s">
        <v>188</v>
      </c>
      <c r="E36" s="32" t="n">
        <v>46184</v>
      </c>
      <c r="F36" s="17" t="s">
        <v>238</v>
      </c>
      <c r="G36" s="17" t="s">
        <v>239</v>
      </c>
    </row>
    <row r="37" customFormat="false" ht="23.85" hidden="false" customHeight="false" outlineLevel="0" collapsed="false">
      <c r="A37" s="17" t="s">
        <v>96</v>
      </c>
      <c r="B37" s="17" t="s">
        <v>187</v>
      </c>
      <c r="C37" s="17" t="n">
        <v>31</v>
      </c>
      <c r="D37" s="17" t="s">
        <v>188</v>
      </c>
      <c r="E37" s="32" t="n">
        <v>46184</v>
      </c>
      <c r="F37" s="17" t="s">
        <v>240</v>
      </c>
      <c r="G37" s="17" t="s">
        <v>241</v>
      </c>
    </row>
    <row r="38" customFormat="false" ht="23.85" hidden="false" customHeight="false" outlineLevel="0" collapsed="false">
      <c r="A38" s="17" t="s">
        <v>109</v>
      </c>
      <c r="B38" s="17" t="s">
        <v>163</v>
      </c>
      <c r="C38" s="17" t="n">
        <v>34</v>
      </c>
      <c r="D38" s="17" t="s">
        <v>208</v>
      </c>
      <c r="E38" s="32" t="n">
        <v>46142</v>
      </c>
      <c r="F38" s="17" t="s">
        <v>242</v>
      </c>
      <c r="G38" s="17" t="s">
        <v>243</v>
      </c>
    </row>
    <row r="39" customFormat="false" ht="23.85" hidden="false" customHeight="false" outlineLevel="0" collapsed="false">
      <c r="A39" s="17" t="s">
        <v>109</v>
      </c>
      <c r="B39" s="17" t="s">
        <v>163</v>
      </c>
      <c r="C39" s="17" t="n">
        <v>168</v>
      </c>
      <c r="D39" s="17" t="s">
        <v>208</v>
      </c>
      <c r="E39" s="32" t="n">
        <v>46140</v>
      </c>
      <c r="F39" s="17" t="s">
        <v>209</v>
      </c>
      <c r="G39" s="17" t="s">
        <v>210</v>
      </c>
    </row>
    <row r="40" customFormat="false" ht="15" hidden="false" customHeight="false" outlineLevel="0" collapsed="false">
      <c r="A40" s="17" t="s">
        <v>109</v>
      </c>
      <c r="B40" s="17" t="s">
        <v>163</v>
      </c>
      <c r="C40" s="17" t="n">
        <v>250</v>
      </c>
      <c r="D40" s="17" t="s">
        <v>208</v>
      </c>
      <c r="E40" s="32" t="n">
        <v>46188</v>
      </c>
      <c r="F40" s="17" t="s">
        <v>244</v>
      </c>
      <c r="G40" s="17" t="s">
        <v>245</v>
      </c>
    </row>
    <row r="41" customFormat="false" ht="15" hidden="false" customHeight="false" outlineLevel="0" collapsed="false">
      <c r="A41" s="17" t="s">
        <v>109</v>
      </c>
      <c r="B41" s="17" t="s">
        <v>191</v>
      </c>
      <c r="C41" s="17" t="n">
        <v>8</v>
      </c>
      <c r="D41" s="17"/>
      <c r="E41" s="32"/>
      <c r="F41" s="17" t="s">
        <v>246</v>
      </c>
      <c r="G41" s="17" t="s">
        <v>247</v>
      </c>
    </row>
    <row r="42" customFormat="false" ht="23.85" hidden="false" customHeight="false" outlineLevel="0" collapsed="false">
      <c r="A42" s="17" t="s">
        <v>119</v>
      </c>
      <c r="B42" s="17" t="s">
        <v>163</v>
      </c>
      <c r="C42" s="17" t="n">
        <v>45</v>
      </c>
      <c r="D42" s="17" t="s">
        <v>170</v>
      </c>
      <c r="E42" s="32" t="n">
        <v>46154</v>
      </c>
      <c r="F42" s="17" t="s">
        <v>248</v>
      </c>
      <c r="G42" s="17" t="s">
        <v>249</v>
      </c>
    </row>
    <row r="43" customFormat="false" ht="35.05" hidden="false" customHeight="false" outlineLevel="0" collapsed="false">
      <c r="A43" s="17" t="s">
        <v>119</v>
      </c>
      <c r="B43" s="17" t="s">
        <v>163</v>
      </c>
      <c r="C43" s="17" t="n">
        <v>147</v>
      </c>
      <c r="D43" s="17" t="s">
        <v>121</v>
      </c>
      <c r="E43" s="32" t="n">
        <v>46175</v>
      </c>
      <c r="F43" s="17" t="s">
        <v>250</v>
      </c>
      <c r="G43" s="17" t="s">
        <v>251</v>
      </c>
    </row>
    <row r="44" customFormat="false" ht="23.85" hidden="false" customHeight="false" outlineLevel="0" collapsed="false">
      <c r="A44" s="17" t="s">
        <v>119</v>
      </c>
      <c r="B44" s="17" t="s">
        <v>163</v>
      </c>
      <c r="C44" s="17" t="n">
        <v>153</v>
      </c>
      <c r="D44" s="17" t="s">
        <v>121</v>
      </c>
      <c r="E44" s="32" t="n">
        <v>46175</v>
      </c>
      <c r="F44" s="17" t="s">
        <v>252</v>
      </c>
      <c r="G44" s="17" t="s">
        <v>253</v>
      </c>
    </row>
    <row r="45" customFormat="false" ht="46.25" hidden="false" customHeight="false" outlineLevel="0" collapsed="false">
      <c r="A45" s="17" t="s">
        <v>119</v>
      </c>
      <c r="B45" s="17" t="s">
        <v>177</v>
      </c>
      <c r="C45" s="17" t="n">
        <v>23</v>
      </c>
      <c r="D45" s="17" t="s">
        <v>178</v>
      </c>
      <c r="E45" s="32" t="n">
        <v>46170</v>
      </c>
      <c r="F45" s="17" t="s">
        <v>254</v>
      </c>
      <c r="G45" s="17" t="s">
        <v>255</v>
      </c>
    </row>
    <row r="46" customFormat="false" ht="23.85" hidden="false" customHeight="false" outlineLevel="0" collapsed="false">
      <c r="A46" s="17" t="s">
        <v>119</v>
      </c>
      <c r="B46" s="17" t="s">
        <v>177</v>
      </c>
      <c r="C46" s="17" t="n">
        <v>24</v>
      </c>
      <c r="D46" s="17" t="s">
        <v>178</v>
      </c>
      <c r="E46" s="32" t="n">
        <v>46170</v>
      </c>
      <c r="F46" s="17" t="s">
        <v>256</v>
      </c>
      <c r="G46" s="17" t="s">
        <v>257</v>
      </c>
    </row>
    <row r="47" customFormat="false" ht="23.85" hidden="false" customHeight="false" outlineLevel="0" collapsed="false">
      <c r="A47" s="17" t="s">
        <v>119</v>
      </c>
      <c r="B47" s="17" t="s">
        <v>177</v>
      </c>
      <c r="C47" s="17" t="n">
        <v>25</v>
      </c>
      <c r="D47" s="17" t="s">
        <v>178</v>
      </c>
      <c r="E47" s="32" t="n">
        <v>46170</v>
      </c>
      <c r="F47" s="17" t="s">
        <v>258</v>
      </c>
      <c r="G47" s="17" t="s">
        <v>259</v>
      </c>
    </row>
    <row r="48" customFormat="false" ht="23.85" hidden="false" customHeight="false" outlineLevel="0" collapsed="false">
      <c r="A48" s="17" t="s">
        <v>119</v>
      </c>
      <c r="B48" s="17" t="s">
        <v>177</v>
      </c>
      <c r="C48" s="17" t="n">
        <v>39</v>
      </c>
      <c r="D48" s="17" t="s">
        <v>178</v>
      </c>
      <c r="E48" s="32" t="n">
        <v>46170</v>
      </c>
      <c r="F48" s="17" t="s">
        <v>260</v>
      </c>
      <c r="G48" s="17" t="s">
        <v>261</v>
      </c>
    </row>
    <row r="49" customFormat="false" ht="68.65" hidden="false" customHeight="false" outlineLevel="0" collapsed="false">
      <c r="A49" s="17" t="s">
        <v>262</v>
      </c>
      <c r="B49" s="17" t="s">
        <v>263</v>
      </c>
      <c r="C49" s="17" t="n">
        <v>7</v>
      </c>
      <c r="D49" s="17"/>
      <c r="E49" s="32"/>
      <c r="F49" s="17" t="s">
        <v>264</v>
      </c>
      <c r="G49" s="17" t="s">
        <v>265</v>
      </c>
    </row>
    <row r="50" customFormat="false" ht="23.85" hidden="false" customHeight="false" outlineLevel="0" collapsed="false">
      <c r="A50" s="17" t="s">
        <v>262</v>
      </c>
      <c r="B50" s="17" t="s">
        <v>163</v>
      </c>
      <c r="C50" s="17" t="n">
        <v>176</v>
      </c>
      <c r="D50" s="17" t="s">
        <v>196</v>
      </c>
      <c r="E50" s="32" t="n">
        <v>46148</v>
      </c>
      <c r="F50" s="17" t="s">
        <v>199</v>
      </c>
      <c r="G50" s="17" t="s">
        <v>200</v>
      </c>
    </row>
    <row r="51" customFormat="false" ht="23.85" hidden="false" customHeight="false" outlineLevel="0" collapsed="false">
      <c r="A51" s="17" t="s">
        <v>262</v>
      </c>
      <c r="B51" s="17" t="s">
        <v>163</v>
      </c>
      <c r="C51" s="17" t="n">
        <v>179</v>
      </c>
      <c r="D51" s="17" t="s">
        <v>203</v>
      </c>
      <c r="E51" s="32" t="n">
        <v>46148</v>
      </c>
      <c r="F51" s="17" t="s">
        <v>266</v>
      </c>
      <c r="G51" s="17" t="s">
        <v>267</v>
      </c>
    </row>
    <row r="52" customFormat="false" ht="23.85" hidden="false" customHeight="false" outlineLevel="0" collapsed="false">
      <c r="A52" s="17" t="s">
        <v>262</v>
      </c>
      <c r="B52" s="17" t="s">
        <v>163</v>
      </c>
      <c r="C52" s="17" t="n">
        <v>185</v>
      </c>
      <c r="D52" s="17" t="s">
        <v>217</v>
      </c>
      <c r="E52" s="32" t="n">
        <v>46148</v>
      </c>
      <c r="F52" s="17" t="s">
        <v>268</v>
      </c>
      <c r="G52" s="17"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1"/>
    <col collapsed="false" customWidth="true" hidden="false" outlineLevel="0" max="4" min="4" style="0" width="22"/>
    <col collapsed="false" customWidth="true" hidden="false" outlineLevel="0" max="5" min="5" style="0" width="24"/>
    <col collapsed="false" customWidth="true" hidden="false" outlineLevel="0" max="6" min="6" style="0" width="13"/>
    <col collapsed="false" customWidth="true" hidden="false" outlineLevel="0" max="7" min="7" style="0" width="10"/>
    <col collapsed="false" customWidth="true" hidden="false" outlineLevel="0" max="8" min="8" style="0" width="8"/>
  </cols>
  <sheetData>
    <row r="1" customFormat="false" ht="15" hidden="false" customHeight="false" outlineLevel="0" collapsed="false">
      <c r="A1" s="8" t="s">
        <v>270</v>
      </c>
    </row>
    <row r="2" customFormat="false" ht="26.85" hidden="false" customHeight="false" outlineLevel="0" collapsed="false">
      <c r="A2" s="15" t="s">
        <v>271</v>
      </c>
      <c r="B2" s="15" t="s">
        <v>272</v>
      </c>
      <c r="C2" s="15" t="s">
        <v>160</v>
      </c>
      <c r="D2" s="15" t="s">
        <v>273</v>
      </c>
      <c r="E2" s="15" t="s">
        <v>274</v>
      </c>
      <c r="F2" s="15" t="s">
        <v>275</v>
      </c>
      <c r="G2" s="15" t="s">
        <v>276</v>
      </c>
      <c r="H2" s="15" t="s">
        <v>277</v>
      </c>
    </row>
    <row r="3" customFormat="false" ht="15" hidden="false" customHeight="false" outlineLevel="0" collapsed="false">
      <c r="A3" s="33" t="n">
        <v>2</v>
      </c>
      <c r="B3" s="33" t="s">
        <v>278</v>
      </c>
      <c r="C3" s="34" t="n">
        <v>46024</v>
      </c>
      <c r="D3" s="33" t="s">
        <v>279</v>
      </c>
      <c r="E3" s="33" t="s">
        <v>280</v>
      </c>
      <c r="F3" s="33" t="s">
        <v>79</v>
      </c>
      <c r="G3" s="33" t="n">
        <v>25</v>
      </c>
      <c r="H3" s="33" t="s">
        <v>281</v>
      </c>
    </row>
    <row r="4" customFormat="false" ht="15" hidden="false" customHeight="false" outlineLevel="0" collapsed="false">
      <c r="A4" s="33" t="n">
        <v>3</v>
      </c>
      <c r="B4" s="33" t="s">
        <v>282</v>
      </c>
      <c r="C4" s="34" t="n">
        <v>46024</v>
      </c>
      <c r="D4" s="33" t="s">
        <v>283</v>
      </c>
      <c r="E4" s="33" t="s">
        <v>284</v>
      </c>
      <c r="F4" s="33" t="s">
        <v>79</v>
      </c>
      <c r="G4" s="33" t="n">
        <v>50</v>
      </c>
      <c r="H4" s="33" t="s">
        <v>281</v>
      </c>
    </row>
    <row r="5" customFormat="false" ht="15" hidden="false" customHeight="false" outlineLevel="0" collapsed="false">
      <c r="A5" s="33" t="n">
        <v>4</v>
      </c>
      <c r="B5" s="33" t="s">
        <v>285</v>
      </c>
      <c r="C5" s="34" t="n">
        <v>46025</v>
      </c>
      <c r="D5" s="33" t="s">
        <v>286</v>
      </c>
      <c r="E5" s="33" t="s">
        <v>287</v>
      </c>
      <c r="F5" s="33" t="s">
        <v>79</v>
      </c>
      <c r="G5" s="33" t="n">
        <v>15</v>
      </c>
      <c r="H5" s="33" t="s">
        <v>281</v>
      </c>
    </row>
    <row r="6" customFormat="false" ht="15" hidden="false" customHeight="false" outlineLevel="0" collapsed="false">
      <c r="A6" s="33" t="n">
        <v>5</v>
      </c>
      <c r="B6" s="33" t="s">
        <v>288</v>
      </c>
      <c r="C6" s="34" t="n">
        <v>46025</v>
      </c>
      <c r="D6" s="33" t="s">
        <v>279</v>
      </c>
      <c r="E6" s="33" t="s">
        <v>289</v>
      </c>
      <c r="F6" s="33" t="s">
        <v>79</v>
      </c>
      <c r="G6" s="33" t="n">
        <v>20</v>
      </c>
      <c r="H6" s="33" t="s">
        <v>281</v>
      </c>
    </row>
    <row r="7" customFormat="false" ht="15" hidden="false" customHeight="false" outlineLevel="0" collapsed="false">
      <c r="A7" s="33" t="n">
        <v>6</v>
      </c>
      <c r="B7" s="33" t="s">
        <v>290</v>
      </c>
      <c r="C7" s="34" t="n">
        <v>46027</v>
      </c>
      <c r="D7" s="33" t="s">
        <v>291</v>
      </c>
      <c r="E7" s="33" t="s">
        <v>292</v>
      </c>
      <c r="F7" s="33" t="s">
        <v>79</v>
      </c>
      <c r="G7" s="33" t="n">
        <v>55</v>
      </c>
      <c r="H7" s="33" t="s">
        <v>281</v>
      </c>
    </row>
    <row r="8" customFormat="false" ht="15" hidden="false" customHeight="false" outlineLevel="0" collapsed="false">
      <c r="A8" s="33" t="n">
        <v>7</v>
      </c>
      <c r="B8" s="33" t="s">
        <v>293</v>
      </c>
      <c r="C8" s="34" t="n">
        <v>46027</v>
      </c>
      <c r="D8" s="33" t="s">
        <v>283</v>
      </c>
      <c r="E8" s="33" t="s">
        <v>294</v>
      </c>
      <c r="F8" s="33" t="s">
        <v>79</v>
      </c>
      <c r="G8" s="33" t="n">
        <v>45</v>
      </c>
      <c r="H8" s="33" t="s">
        <v>281</v>
      </c>
    </row>
    <row r="9" customFormat="false" ht="15" hidden="false" customHeight="false" outlineLevel="0" collapsed="false">
      <c r="A9" s="33" t="n">
        <v>8</v>
      </c>
      <c r="B9" s="33" t="s">
        <v>295</v>
      </c>
      <c r="C9" s="34" t="n">
        <v>46028</v>
      </c>
      <c r="D9" s="33" t="s">
        <v>279</v>
      </c>
      <c r="E9" s="33" t="s">
        <v>296</v>
      </c>
      <c r="F9" s="33" t="s">
        <v>79</v>
      </c>
      <c r="G9" s="33" t="n">
        <v>25</v>
      </c>
      <c r="H9" s="33" t="s">
        <v>281</v>
      </c>
    </row>
    <row r="10" customFormat="false" ht="15" hidden="false" customHeight="false" outlineLevel="0" collapsed="false">
      <c r="A10" s="33" t="n">
        <v>9</v>
      </c>
      <c r="B10" s="33" t="s">
        <v>297</v>
      </c>
      <c r="C10" s="34" t="n">
        <v>46028</v>
      </c>
      <c r="D10" s="33" t="s">
        <v>279</v>
      </c>
      <c r="E10" s="33" t="s">
        <v>298</v>
      </c>
      <c r="F10" s="33" t="s">
        <v>79</v>
      </c>
      <c r="G10" s="33" t="n">
        <v>20</v>
      </c>
      <c r="H10" s="33" t="s">
        <v>281</v>
      </c>
    </row>
    <row r="11" customFormat="false" ht="15" hidden="false" customHeight="false" outlineLevel="0" collapsed="false">
      <c r="A11" s="33" t="n">
        <v>10</v>
      </c>
      <c r="B11" s="33" t="s">
        <v>299</v>
      </c>
      <c r="C11" s="34" t="n">
        <v>46029</v>
      </c>
      <c r="D11" s="33" t="s">
        <v>283</v>
      </c>
      <c r="E11" s="33" t="s">
        <v>300</v>
      </c>
      <c r="F11" s="33" t="s">
        <v>79</v>
      </c>
      <c r="G11" s="33" t="n">
        <v>45</v>
      </c>
      <c r="H11" s="33" t="s">
        <v>281</v>
      </c>
    </row>
    <row r="12" customFormat="false" ht="15" hidden="false" customHeight="false" outlineLevel="0" collapsed="false">
      <c r="A12" s="33" t="n">
        <v>11</v>
      </c>
      <c r="B12" s="33" t="s">
        <v>301</v>
      </c>
      <c r="C12" s="34" t="n">
        <v>46029</v>
      </c>
      <c r="D12" s="33" t="s">
        <v>286</v>
      </c>
      <c r="E12" s="33" t="s">
        <v>302</v>
      </c>
      <c r="F12" s="33" t="s">
        <v>79</v>
      </c>
      <c r="G12" s="33" t="n">
        <v>10</v>
      </c>
      <c r="H12" s="33" t="s">
        <v>281</v>
      </c>
    </row>
    <row r="13" customFormat="false" ht="15" hidden="false" customHeight="false" outlineLevel="0" collapsed="false">
      <c r="A13" s="33" t="n">
        <v>12</v>
      </c>
      <c r="B13" s="33" t="s">
        <v>303</v>
      </c>
      <c r="C13" s="34" t="n">
        <v>46030</v>
      </c>
      <c r="D13" s="33" t="s">
        <v>279</v>
      </c>
      <c r="E13" s="33" t="s">
        <v>304</v>
      </c>
      <c r="F13" s="33" t="s">
        <v>79</v>
      </c>
      <c r="G13" s="33" t="n">
        <v>25</v>
      </c>
      <c r="H13" s="33" t="s">
        <v>281</v>
      </c>
    </row>
    <row r="14" customFormat="false" ht="15" hidden="false" customHeight="false" outlineLevel="0" collapsed="false">
      <c r="A14" s="33" t="n">
        <v>13</v>
      </c>
      <c r="B14" s="33" t="s">
        <v>305</v>
      </c>
      <c r="C14" s="34" t="n">
        <v>46030</v>
      </c>
      <c r="D14" s="33" t="s">
        <v>291</v>
      </c>
      <c r="E14" s="33" t="s">
        <v>306</v>
      </c>
      <c r="F14" s="33" t="s">
        <v>79</v>
      </c>
      <c r="G14" s="33" t="n">
        <v>50</v>
      </c>
      <c r="H14" s="33" t="s">
        <v>281</v>
      </c>
    </row>
    <row r="15" customFormat="false" ht="15" hidden="false" customHeight="false" outlineLevel="0" collapsed="false">
      <c r="A15" s="33" t="n">
        <v>14</v>
      </c>
      <c r="B15" s="33" t="s">
        <v>307</v>
      </c>
      <c r="C15" s="34" t="n">
        <v>46031</v>
      </c>
      <c r="D15" s="33" t="s">
        <v>283</v>
      </c>
      <c r="E15" s="33" t="s">
        <v>308</v>
      </c>
      <c r="F15" s="33"/>
      <c r="G15" s="33" t="n">
        <v>45</v>
      </c>
      <c r="H15" s="33" t="s">
        <v>281</v>
      </c>
    </row>
    <row r="16" customFormat="false" ht="15" hidden="false" customHeight="false" outlineLevel="0" collapsed="false">
      <c r="A16" s="33" t="n">
        <v>15</v>
      </c>
      <c r="B16" s="33" t="s">
        <v>309</v>
      </c>
      <c r="C16" s="34" t="n">
        <v>46031</v>
      </c>
      <c r="D16" s="33" t="s">
        <v>279</v>
      </c>
      <c r="E16" s="33" t="s">
        <v>310</v>
      </c>
      <c r="F16" s="33" t="s">
        <v>79</v>
      </c>
      <c r="G16" s="33" t="n">
        <v>20</v>
      </c>
      <c r="H16" s="33" t="s">
        <v>281</v>
      </c>
    </row>
    <row r="17" customFormat="false" ht="15" hidden="false" customHeight="false" outlineLevel="0" collapsed="false">
      <c r="A17" s="33" t="n">
        <v>16</v>
      </c>
      <c r="B17" s="33" t="s">
        <v>311</v>
      </c>
      <c r="C17" s="34" t="n">
        <v>46034</v>
      </c>
      <c r="D17" s="33" t="s">
        <v>279</v>
      </c>
      <c r="E17" s="33" t="s">
        <v>312</v>
      </c>
      <c r="F17" s="33" t="s">
        <v>79</v>
      </c>
      <c r="G17" s="33" t="n">
        <v>25</v>
      </c>
      <c r="H17" s="33" t="s">
        <v>281</v>
      </c>
    </row>
    <row r="18" customFormat="false" ht="15" hidden="false" customHeight="false" outlineLevel="0" collapsed="false">
      <c r="A18" s="33" t="n">
        <v>17</v>
      </c>
      <c r="B18" s="33" t="s">
        <v>313</v>
      </c>
      <c r="C18" s="34" t="n">
        <v>46034</v>
      </c>
      <c r="D18" s="33" t="s">
        <v>314</v>
      </c>
      <c r="E18" s="33" t="s">
        <v>315</v>
      </c>
      <c r="F18" s="33" t="s">
        <v>79</v>
      </c>
      <c r="G18" s="33" t="n">
        <v>25</v>
      </c>
      <c r="H18" s="33" t="s">
        <v>281</v>
      </c>
    </row>
    <row r="19" customFormat="false" ht="15" hidden="false" customHeight="false" outlineLevel="0" collapsed="false">
      <c r="A19" s="33" t="n">
        <v>18</v>
      </c>
      <c r="B19" s="33" t="s">
        <v>316</v>
      </c>
      <c r="C19" s="34" t="n">
        <v>46035</v>
      </c>
      <c r="D19" s="33" t="s">
        <v>283</v>
      </c>
      <c r="E19" s="33" t="s">
        <v>317</v>
      </c>
      <c r="F19" s="33" t="s">
        <v>79</v>
      </c>
      <c r="G19" s="33" t="n">
        <v>40</v>
      </c>
      <c r="H19" s="33" t="s">
        <v>281</v>
      </c>
    </row>
    <row r="20" customFormat="false" ht="15" hidden="false" customHeight="false" outlineLevel="0" collapsed="false">
      <c r="A20" s="33" t="n">
        <v>19</v>
      </c>
      <c r="B20" s="33" t="s">
        <v>318</v>
      </c>
      <c r="C20" s="34" t="n">
        <v>46035</v>
      </c>
      <c r="D20" s="33" t="s">
        <v>279</v>
      </c>
      <c r="E20" s="33" t="s">
        <v>319</v>
      </c>
      <c r="F20" s="33" t="s">
        <v>79</v>
      </c>
      <c r="G20" s="33" t="n">
        <v>20</v>
      </c>
      <c r="H20" s="33" t="s">
        <v>281</v>
      </c>
    </row>
    <row r="21" customFormat="false" ht="15" hidden="false" customHeight="false" outlineLevel="0" collapsed="false">
      <c r="A21" s="33" t="n">
        <v>20</v>
      </c>
      <c r="B21" s="33" t="s">
        <v>320</v>
      </c>
      <c r="C21" s="34" t="n">
        <v>46036</v>
      </c>
      <c r="D21" s="33" t="s">
        <v>291</v>
      </c>
      <c r="E21" s="33" t="s">
        <v>321</v>
      </c>
      <c r="F21" s="33" t="s">
        <v>79</v>
      </c>
      <c r="G21" s="33" t="n">
        <v>45</v>
      </c>
      <c r="H21" s="33" t="s">
        <v>281</v>
      </c>
    </row>
    <row r="22" customFormat="false" ht="15" hidden="false" customHeight="false" outlineLevel="0" collapsed="false">
      <c r="A22" s="33" t="n">
        <v>21</v>
      </c>
      <c r="B22" s="33" t="s">
        <v>322</v>
      </c>
      <c r="C22" s="34" t="n">
        <v>46036</v>
      </c>
      <c r="D22" s="33" t="s">
        <v>279</v>
      </c>
      <c r="E22" s="33" t="s">
        <v>323</v>
      </c>
      <c r="F22" s="33" t="s">
        <v>79</v>
      </c>
      <c r="G22" s="33" t="n">
        <v>25</v>
      </c>
      <c r="H22" s="33" t="s">
        <v>281</v>
      </c>
    </row>
    <row r="23" customFormat="false" ht="15" hidden="false" customHeight="false" outlineLevel="0" collapsed="false">
      <c r="A23" s="33" t="n">
        <v>22</v>
      </c>
      <c r="B23" s="33" t="s">
        <v>324</v>
      </c>
      <c r="C23" s="34" t="n">
        <v>46037</v>
      </c>
      <c r="D23" s="33" t="s">
        <v>283</v>
      </c>
      <c r="E23" s="33" t="s">
        <v>325</v>
      </c>
      <c r="F23" s="33" t="s">
        <v>79</v>
      </c>
      <c r="G23" s="33" t="n">
        <v>50</v>
      </c>
      <c r="H23" s="33" t="s">
        <v>281</v>
      </c>
    </row>
    <row r="24" customFormat="false" ht="15" hidden="false" customHeight="false" outlineLevel="0" collapsed="false">
      <c r="A24" s="33" t="n">
        <v>23</v>
      </c>
      <c r="B24" s="33" t="s">
        <v>326</v>
      </c>
      <c r="C24" s="34" t="n">
        <v>46037</v>
      </c>
      <c r="D24" s="33" t="s">
        <v>286</v>
      </c>
      <c r="E24" s="33" t="s">
        <v>327</v>
      </c>
      <c r="F24" s="33" t="s">
        <v>79</v>
      </c>
      <c r="G24" s="33" t="n">
        <v>10</v>
      </c>
      <c r="H24" s="33" t="s">
        <v>281</v>
      </c>
    </row>
    <row r="25" customFormat="false" ht="15" hidden="false" customHeight="false" outlineLevel="0" collapsed="false">
      <c r="A25" s="33" t="n">
        <v>24</v>
      </c>
      <c r="B25" s="33" t="s">
        <v>328</v>
      </c>
      <c r="C25" s="34" t="n">
        <v>46038</v>
      </c>
      <c r="D25" s="33" t="s">
        <v>279</v>
      </c>
      <c r="E25" s="33" t="s">
        <v>329</v>
      </c>
      <c r="F25" s="33" t="s">
        <v>79</v>
      </c>
      <c r="G25" s="33" t="n">
        <v>20</v>
      </c>
      <c r="H25" s="33" t="s">
        <v>281</v>
      </c>
    </row>
    <row r="26" customFormat="false" ht="15" hidden="false" customHeight="false" outlineLevel="0" collapsed="false">
      <c r="A26" s="33" t="n">
        <v>25</v>
      </c>
      <c r="B26" s="33" t="s">
        <v>330</v>
      </c>
      <c r="C26" s="34" t="n">
        <v>46038</v>
      </c>
      <c r="D26" s="33" t="s">
        <v>279</v>
      </c>
      <c r="E26" s="33" t="s">
        <v>331</v>
      </c>
      <c r="F26" s="33" t="s">
        <v>79</v>
      </c>
      <c r="G26" s="33" t="n">
        <v>25</v>
      </c>
      <c r="H26" s="33" t="s">
        <v>281</v>
      </c>
    </row>
    <row r="27" customFormat="false" ht="15" hidden="false" customHeight="false" outlineLevel="0" collapsed="false">
      <c r="A27" s="33" t="n">
        <v>26</v>
      </c>
      <c r="B27" s="33" t="s">
        <v>332</v>
      </c>
      <c r="C27" s="34" t="n">
        <v>46041</v>
      </c>
      <c r="D27" s="33" t="s">
        <v>283</v>
      </c>
      <c r="E27" s="33" t="s">
        <v>333</v>
      </c>
      <c r="F27" s="33" t="s">
        <v>79</v>
      </c>
      <c r="G27" s="33" t="n">
        <v>45</v>
      </c>
      <c r="H27" s="33" t="s">
        <v>281</v>
      </c>
    </row>
    <row r="28" customFormat="false" ht="15" hidden="false" customHeight="false" outlineLevel="0" collapsed="false">
      <c r="A28" s="33" t="n">
        <v>27</v>
      </c>
      <c r="B28" s="33" t="s">
        <v>334</v>
      </c>
      <c r="C28" s="34" t="n">
        <v>46041</v>
      </c>
      <c r="D28" s="33" t="s">
        <v>291</v>
      </c>
      <c r="E28" s="33" t="s">
        <v>335</v>
      </c>
      <c r="F28" s="33" t="s">
        <v>79</v>
      </c>
      <c r="G28" s="33" t="n">
        <v>45</v>
      </c>
      <c r="H28" s="33" t="s">
        <v>281</v>
      </c>
    </row>
    <row r="29" customFormat="false" ht="15" hidden="false" customHeight="false" outlineLevel="0" collapsed="false">
      <c r="A29" s="33" t="n">
        <v>28</v>
      </c>
      <c r="B29" s="33" t="s">
        <v>336</v>
      </c>
      <c r="C29" s="34" t="n">
        <v>46042</v>
      </c>
      <c r="D29" s="33" t="s">
        <v>279</v>
      </c>
      <c r="E29" s="33" t="s">
        <v>337</v>
      </c>
      <c r="F29" s="33" t="s">
        <v>79</v>
      </c>
      <c r="G29" s="33" t="n">
        <v>20</v>
      </c>
      <c r="H29" s="33" t="s">
        <v>281</v>
      </c>
    </row>
    <row r="30" customFormat="false" ht="15" hidden="false" customHeight="false" outlineLevel="0" collapsed="false">
      <c r="A30" s="33" t="n">
        <v>29</v>
      </c>
      <c r="B30" s="33" t="s">
        <v>338</v>
      </c>
      <c r="C30" s="34" t="n">
        <v>46042</v>
      </c>
      <c r="D30" s="33" t="s">
        <v>279</v>
      </c>
      <c r="E30" s="33" t="s">
        <v>339</v>
      </c>
      <c r="F30" s="33" t="s">
        <v>79</v>
      </c>
      <c r="G30" s="33" t="n">
        <v>25</v>
      </c>
      <c r="H30" s="33" t="s">
        <v>281</v>
      </c>
    </row>
    <row r="31" customFormat="false" ht="15" hidden="false" customHeight="false" outlineLevel="0" collapsed="false">
      <c r="A31" s="33" t="n">
        <v>30</v>
      </c>
      <c r="B31" s="33" t="s">
        <v>340</v>
      </c>
      <c r="C31" s="34" t="n">
        <v>46043</v>
      </c>
      <c r="D31" s="33" t="s">
        <v>283</v>
      </c>
      <c r="E31" s="33" t="s">
        <v>341</v>
      </c>
      <c r="F31" s="33" t="s">
        <v>79</v>
      </c>
      <c r="G31" s="33" t="n">
        <v>45</v>
      </c>
      <c r="H31" s="33" t="s">
        <v>281</v>
      </c>
    </row>
    <row r="32" customFormat="false" ht="15" hidden="false" customHeight="false" outlineLevel="0" collapsed="false">
      <c r="A32" s="33" t="n">
        <v>31</v>
      </c>
      <c r="B32" s="33" t="s">
        <v>342</v>
      </c>
      <c r="C32" s="34" t="n">
        <v>46043</v>
      </c>
      <c r="D32" s="33" t="s">
        <v>343</v>
      </c>
      <c r="E32" s="33" t="s">
        <v>344</v>
      </c>
      <c r="F32" s="33" t="s">
        <v>79</v>
      </c>
      <c r="G32" s="33" t="n">
        <v>40</v>
      </c>
      <c r="H32" s="33" t="s">
        <v>281</v>
      </c>
    </row>
    <row r="33" customFormat="false" ht="15" hidden="false" customHeight="false" outlineLevel="0" collapsed="false">
      <c r="A33" s="33" t="n">
        <v>32</v>
      </c>
      <c r="B33" s="33" t="s">
        <v>345</v>
      </c>
      <c r="C33" s="34" t="n">
        <v>46044</v>
      </c>
      <c r="D33" s="33" t="s">
        <v>279</v>
      </c>
      <c r="E33" s="33" t="s">
        <v>346</v>
      </c>
      <c r="F33" s="33" t="s">
        <v>79</v>
      </c>
      <c r="G33" s="33" t="n">
        <v>20</v>
      </c>
      <c r="H33" s="33" t="s">
        <v>281</v>
      </c>
    </row>
    <row r="34" customFormat="false" ht="15" hidden="false" customHeight="false" outlineLevel="0" collapsed="false">
      <c r="A34" s="33" t="n">
        <v>33</v>
      </c>
      <c r="B34" s="33" t="s">
        <v>347</v>
      </c>
      <c r="C34" s="34" t="n">
        <v>46044</v>
      </c>
      <c r="D34" s="33" t="s">
        <v>286</v>
      </c>
      <c r="E34" s="33" t="s">
        <v>348</v>
      </c>
      <c r="F34" s="33" t="s">
        <v>79</v>
      </c>
      <c r="G34" s="33" t="n">
        <v>10</v>
      </c>
      <c r="H34" s="33" t="s">
        <v>281</v>
      </c>
    </row>
    <row r="35" customFormat="false" ht="15" hidden="false" customHeight="false" outlineLevel="0" collapsed="false">
      <c r="A35" s="33" t="n">
        <v>34</v>
      </c>
      <c r="B35" s="33" t="s">
        <v>349</v>
      </c>
      <c r="C35" s="34" t="n">
        <v>46045</v>
      </c>
      <c r="D35" s="33" t="s">
        <v>283</v>
      </c>
      <c r="E35" s="33" t="s">
        <v>350</v>
      </c>
      <c r="F35" s="33" t="s">
        <v>79</v>
      </c>
      <c r="G35" s="33" t="n">
        <v>50</v>
      </c>
      <c r="H35" s="33" t="s">
        <v>281</v>
      </c>
    </row>
    <row r="36" customFormat="false" ht="15" hidden="false" customHeight="false" outlineLevel="0" collapsed="false">
      <c r="A36" s="33" t="n">
        <v>35</v>
      </c>
      <c r="B36" s="33" t="s">
        <v>351</v>
      </c>
      <c r="C36" s="34" t="n">
        <v>46045</v>
      </c>
      <c r="D36" s="33" t="s">
        <v>279</v>
      </c>
      <c r="E36" s="33" t="s">
        <v>352</v>
      </c>
      <c r="F36" s="33" t="s">
        <v>79</v>
      </c>
      <c r="G36" s="33" t="n">
        <v>25</v>
      </c>
      <c r="H36" s="33" t="s">
        <v>281</v>
      </c>
    </row>
    <row r="37" customFormat="false" ht="15" hidden="false" customHeight="false" outlineLevel="0" collapsed="false">
      <c r="A37" s="33" t="n">
        <v>36</v>
      </c>
      <c r="B37" s="33" t="s">
        <v>353</v>
      </c>
      <c r="C37" s="34" t="n">
        <v>46048</v>
      </c>
      <c r="D37" s="33" t="s">
        <v>291</v>
      </c>
      <c r="E37" s="33" t="s">
        <v>354</v>
      </c>
      <c r="F37" s="33" t="s">
        <v>79</v>
      </c>
      <c r="G37" s="33" t="n">
        <v>45</v>
      </c>
      <c r="H37" s="33" t="s">
        <v>281</v>
      </c>
    </row>
    <row r="38" customFormat="false" ht="15" hidden="false" customHeight="false" outlineLevel="0" collapsed="false">
      <c r="A38" s="33" t="n">
        <v>37</v>
      </c>
      <c r="B38" s="33" t="s">
        <v>355</v>
      </c>
      <c r="C38" s="34" t="n">
        <v>46048</v>
      </c>
      <c r="D38" s="33" t="s">
        <v>279</v>
      </c>
      <c r="E38" s="33" t="s">
        <v>356</v>
      </c>
      <c r="F38" s="33" t="s">
        <v>79</v>
      </c>
      <c r="G38" s="33" t="n">
        <v>20</v>
      </c>
      <c r="H38" s="33" t="s">
        <v>281</v>
      </c>
    </row>
    <row r="39" customFormat="false" ht="15" hidden="false" customHeight="false" outlineLevel="0" collapsed="false">
      <c r="A39" s="33" t="n">
        <v>38</v>
      </c>
      <c r="B39" s="33" t="s">
        <v>357</v>
      </c>
      <c r="C39" s="34" t="n">
        <v>46049</v>
      </c>
      <c r="D39" s="33" t="s">
        <v>283</v>
      </c>
      <c r="E39" s="33" t="s">
        <v>358</v>
      </c>
      <c r="F39" s="33" t="s">
        <v>79</v>
      </c>
      <c r="G39" s="33" t="n">
        <v>45</v>
      </c>
      <c r="H39" s="33" t="s">
        <v>281</v>
      </c>
    </row>
    <row r="40" customFormat="false" ht="15" hidden="false" customHeight="false" outlineLevel="0" collapsed="false">
      <c r="A40" s="33" t="n">
        <v>39</v>
      </c>
      <c r="B40" s="33" t="s">
        <v>359</v>
      </c>
      <c r="C40" s="34" t="n">
        <v>46049</v>
      </c>
      <c r="D40" s="33" t="s">
        <v>279</v>
      </c>
      <c r="E40" s="33" t="s">
        <v>360</v>
      </c>
      <c r="F40" s="33"/>
      <c r="G40" s="33" t="n">
        <v>25</v>
      </c>
      <c r="H40" s="33" t="s">
        <v>281</v>
      </c>
    </row>
    <row r="41" customFormat="false" ht="15" hidden="false" customHeight="false" outlineLevel="0" collapsed="false">
      <c r="A41" s="33" t="n">
        <v>40</v>
      </c>
      <c r="B41" s="33" t="s">
        <v>361</v>
      </c>
      <c r="C41" s="34" t="n">
        <v>46050</v>
      </c>
      <c r="D41" s="33" t="s">
        <v>314</v>
      </c>
      <c r="E41" s="33" t="s">
        <v>362</v>
      </c>
      <c r="F41" s="33" t="s">
        <v>79</v>
      </c>
      <c r="G41" s="33" t="n">
        <v>20</v>
      </c>
      <c r="H41" s="33" t="s">
        <v>281</v>
      </c>
    </row>
    <row r="42" customFormat="false" ht="15" hidden="false" customHeight="false" outlineLevel="0" collapsed="false">
      <c r="A42" s="33" t="n">
        <v>41</v>
      </c>
      <c r="B42" s="33" t="s">
        <v>363</v>
      </c>
      <c r="C42" s="34" t="n">
        <v>46050</v>
      </c>
      <c r="D42" s="33" t="s">
        <v>279</v>
      </c>
      <c r="E42" s="33" t="s">
        <v>364</v>
      </c>
      <c r="F42" s="33" t="s">
        <v>79</v>
      </c>
      <c r="G42" s="33" t="n">
        <v>25</v>
      </c>
      <c r="H42" s="33" t="s">
        <v>281</v>
      </c>
    </row>
    <row r="43" customFormat="false" ht="15" hidden="false" customHeight="false" outlineLevel="0" collapsed="false">
      <c r="A43" s="33" t="n">
        <v>42</v>
      </c>
      <c r="B43" s="33" t="s">
        <v>365</v>
      </c>
      <c r="C43" s="34" t="n">
        <v>46051</v>
      </c>
      <c r="D43" s="33" t="s">
        <v>283</v>
      </c>
      <c r="E43" s="33" t="s">
        <v>366</v>
      </c>
      <c r="F43" s="33" t="s">
        <v>79</v>
      </c>
      <c r="G43" s="33" t="n">
        <v>40</v>
      </c>
      <c r="H43" s="33" t="s">
        <v>281</v>
      </c>
    </row>
    <row r="44" customFormat="false" ht="15" hidden="false" customHeight="false" outlineLevel="0" collapsed="false">
      <c r="A44" s="33" t="n">
        <v>43</v>
      </c>
      <c r="B44" s="33" t="s">
        <v>367</v>
      </c>
      <c r="C44" s="34" t="n">
        <v>46051</v>
      </c>
      <c r="D44" s="33" t="s">
        <v>279</v>
      </c>
      <c r="E44" s="33" t="s">
        <v>368</v>
      </c>
      <c r="F44" s="33" t="s">
        <v>79</v>
      </c>
      <c r="G44" s="33" t="n">
        <v>20</v>
      </c>
      <c r="H44" s="33" t="s">
        <v>281</v>
      </c>
    </row>
    <row r="45" customFormat="false" ht="15" hidden="false" customHeight="false" outlineLevel="0" collapsed="false">
      <c r="A45" s="33" t="n">
        <v>44</v>
      </c>
      <c r="B45" s="33" t="s">
        <v>369</v>
      </c>
      <c r="C45" s="34" t="n">
        <v>46052</v>
      </c>
      <c r="D45" s="33" t="s">
        <v>291</v>
      </c>
      <c r="E45" s="33" t="s">
        <v>370</v>
      </c>
      <c r="F45" s="33" t="s">
        <v>79</v>
      </c>
      <c r="G45" s="33" t="n">
        <v>50</v>
      </c>
      <c r="H45" s="33" t="s">
        <v>281</v>
      </c>
    </row>
    <row r="46" customFormat="false" ht="15" hidden="false" customHeight="false" outlineLevel="0" collapsed="false">
      <c r="A46" s="33" t="n">
        <v>45</v>
      </c>
      <c r="B46" s="33" t="s">
        <v>371</v>
      </c>
      <c r="C46" s="34" t="n">
        <v>46052</v>
      </c>
      <c r="D46" s="33" t="s">
        <v>279</v>
      </c>
      <c r="E46" s="33" t="s">
        <v>372</v>
      </c>
      <c r="F46" s="33" t="s">
        <v>79</v>
      </c>
      <c r="G46" s="33" t="n">
        <v>25</v>
      </c>
      <c r="H46" s="33" t="s">
        <v>281</v>
      </c>
    </row>
    <row r="47" customFormat="false" ht="15" hidden="false" customHeight="false" outlineLevel="0" collapsed="false">
      <c r="A47" s="33" t="n">
        <v>46</v>
      </c>
      <c r="B47" s="33" t="s">
        <v>373</v>
      </c>
      <c r="C47" s="34" t="n">
        <v>46055</v>
      </c>
      <c r="D47" s="33" t="s">
        <v>283</v>
      </c>
      <c r="E47" s="33" t="s">
        <v>374</v>
      </c>
      <c r="F47" s="33" t="s">
        <v>79</v>
      </c>
      <c r="G47" s="33" t="n">
        <v>45</v>
      </c>
      <c r="H47" s="33" t="s">
        <v>281</v>
      </c>
    </row>
    <row r="48" customFormat="false" ht="15" hidden="false" customHeight="false" outlineLevel="0" collapsed="false">
      <c r="A48" s="33" t="n">
        <v>47</v>
      </c>
      <c r="B48" s="33" t="s">
        <v>375</v>
      </c>
      <c r="C48" s="34" t="n">
        <v>46055</v>
      </c>
      <c r="D48" s="33" t="s">
        <v>279</v>
      </c>
      <c r="E48" s="33" t="s">
        <v>376</v>
      </c>
      <c r="F48" s="33" t="s">
        <v>79</v>
      </c>
      <c r="G48" s="33" t="n">
        <v>20</v>
      </c>
      <c r="H48" s="33" t="s">
        <v>281</v>
      </c>
    </row>
    <row r="49" customFormat="false" ht="15" hidden="false" customHeight="false" outlineLevel="0" collapsed="false">
      <c r="A49" s="33" t="n">
        <v>48</v>
      </c>
      <c r="B49" s="33" t="s">
        <v>377</v>
      </c>
      <c r="C49" s="34" t="n">
        <v>46056</v>
      </c>
      <c r="D49" s="33" t="s">
        <v>286</v>
      </c>
      <c r="E49" s="33" t="s">
        <v>378</v>
      </c>
      <c r="F49" s="33" t="s">
        <v>79</v>
      </c>
      <c r="G49" s="33" t="n">
        <v>10</v>
      </c>
      <c r="H49" s="33" t="s">
        <v>281</v>
      </c>
    </row>
    <row r="50" customFormat="false" ht="15" hidden="false" customHeight="false" outlineLevel="0" collapsed="false">
      <c r="A50" s="33" t="n">
        <v>49</v>
      </c>
      <c r="B50" s="33" t="s">
        <v>379</v>
      </c>
      <c r="C50" s="34" t="n">
        <v>46056</v>
      </c>
      <c r="D50" s="33" t="s">
        <v>279</v>
      </c>
      <c r="E50" s="33" t="s">
        <v>380</v>
      </c>
      <c r="F50" s="33" t="s">
        <v>79</v>
      </c>
      <c r="G50" s="33" t="n">
        <v>25</v>
      </c>
      <c r="H50" s="33" t="s">
        <v>281</v>
      </c>
    </row>
    <row r="51" customFormat="false" ht="15" hidden="false" customHeight="false" outlineLevel="0" collapsed="false">
      <c r="A51" s="33" t="n">
        <v>50</v>
      </c>
      <c r="B51" s="33" t="s">
        <v>381</v>
      </c>
      <c r="C51" s="34" t="n">
        <v>46057</v>
      </c>
      <c r="D51" s="33" t="s">
        <v>283</v>
      </c>
      <c r="E51" s="33" t="s">
        <v>382</v>
      </c>
      <c r="F51" s="33" t="s">
        <v>79</v>
      </c>
      <c r="G51" s="33" t="n">
        <v>50</v>
      </c>
      <c r="H51" s="33" t="s">
        <v>281</v>
      </c>
    </row>
    <row r="52" customFormat="false" ht="15" hidden="false" customHeight="false" outlineLevel="0" collapsed="false">
      <c r="A52" s="33" t="n">
        <v>51</v>
      </c>
      <c r="B52" s="33" t="s">
        <v>383</v>
      </c>
      <c r="C52" s="34" t="n">
        <v>46057</v>
      </c>
      <c r="D52" s="33" t="s">
        <v>291</v>
      </c>
      <c r="E52" s="33" t="s">
        <v>384</v>
      </c>
      <c r="F52" s="33" t="s">
        <v>79</v>
      </c>
      <c r="G52" s="33" t="n">
        <v>55</v>
      </c>
      <c r="H52" s="33" t="s">
        <v>281</v>
      </c>
    </row>
    <row r="53" customFormat="false" ht="15" hidden="false" customHeight="false" outlineLevel="0" collapsed="false">
      <c r="A53" s="33" t="n">
        <v>52</v>
      </c>
      <c r="B53" s="33" t="s">
        <v>385</v>
      </c>
      <c r="C53" s="34" t="n">
        <v>46058</v>
      </c>
      <c r="D53" s="33" t="s">
        <v>279</v>
      </c>
      <c r="E53" s="33" t="s">
        <v>386</v>
      </c>
      <c r="F53" s="33" t="s">
        <v>79</v>
      </c>
      <c r="G53" s="33" t="n">
        <v>20</v>
      </c>
      <c r="H53" s="33" t="s">
        <v>281</v>
      </c>
    </row>
    <row r="54" customFormat="false" ht="15" hidden="false" customHeight="false" outlineLevel="0" collapsed="false">
      <c r="A54" s="33" t="n">
        <v>53</v>
      </c>
      <c r="B54" s="33" t="s">
        <v>387</v>
      </c>
      <c r="C54" s="34" t="n">
        <v>46058</v>
      </c>
      <c r="D54" s="33" t="s">
        <v>279</v>
      </c>
      <c r="E54" s="33" t="s">
        <v>388</v>
      </c>
      <c r="F54" s="33" t="s">
        <v>79</v>
      </c>
      <c r="G54" s="33" t="n">
        <v>25</v>
      </c>
      <c r="H54" s="33" t="s">
        <v>281</v>
      </c>
    </row>
    <row r="55" customFormat="false" ht="15" hidden="false" customHeight="false" outlineLevel="0" collapsed="false">
      <c r="A55" s="33" t="n">
        <v>54</v>
      </c>
      <c r="B55" s="33" t="s">
        <v>389</v>
      </c>
      <c r="C55" s="34" t="n">
        <v>46059</v>
      </c>
      <c r="D55" s="33" t="s">
        <v>283</v>
      </c>
      <c r="E55" s="33" t="s">
        <v>390</v>
      </c>
      <c r="F55" s="33" t="s">
        <v>79</v>
      </c>
      <c r="G55" s="33" t="n">
        <v>45</v>
      </c>
      <c r="H55" s="33" t="s">
        <v>281</v>
      </c>
    </row>
    <row r="56" customFormat="false" ht="15" hidden="false" customHeight="false" outlineLevel="0" collapsed="false">
      <c r="A56" s="33" t="n">
        <v>55</v>
      </c>
      <c r="B56" s="33" t="s">
        <v>391</v>
      </c>
      <c r="C56" s="34" t="n">
        <v>46059</v>
      </c>
      <c r="D56" s="33" t="s">
        <v>343</v>
      </c>
      <c r="E56" s="33" t="s">
        <v>392</v>
      </c>
      <c r="F56" s="33" t="s">
        <v>79</v>
      </c>
      <c r="G56" s="33" t="n">
        <v>45</v>
      </c>
      <c r="H56" s="33" t="s">
        <v>281</v>
      </c>
    </row>
    <row r="57" customFormat="false" ht="15" hidden="false" customHeight="false" outlineLevel="0" collapsed="false">
      <c r="A57" s="33" t="n">
        <v>56</v>
      </c>
      <c r="B57" s="33" t="s">
        <v>393</v>
      </c>
      <c r="C57" s="34" t="n">
        <v>46062</v>
      </c>
      <c r="D57" s="33" t="s">
        <v>279</v>
      </c>
      <c r="E57" s="33" t="s">
        <v>394</v>
      </c>
      <c r="F57" s="33" t="s">
        <v>79</v>
      </c>
      <c r="G57" s="33" t="n">
        <v>20</v>
      </c>
      <c r="H57" s="33" t="s">
        <v>281</v>
      </c>
    </row>
    <row r="58" customFormat="false" ht="15" hidden="false" customHeight="false" outlineLevel="0" collapsed="false">
      <c r="A58" s="33" t="n">
        <v>57</v>
      </c>
      <c r="B58" s="33" t="s">
        <v>395</v>
      </c>
      <c r="C58" s="34" t="n">
        <v>46062</v>
      </c>
      <c r="D58" s="33" t="s">
        <v>286</v>
      </c>
      <c r="E58" s="33" t="s">
        <v>396</v>
      </c>
      <c r="F58" s="33" t="s">
        <v>79</v>
      </c>
      <c r="G58" s="33" t="n">
        <v>10</v>
      </c>
      <c r="H58" s="33" t="s">
        <v>281</v>
      </c>
    </row>
    <row r="59" customFormat="false" ht="15" hidden="false" customHeight="false" outlineLevel="0" collapsed="false">
      <c r="A59" s="33" t="n">
        <v>58</v>
      </c>
      <c r="B59" s="33" t="s">
        <v>397</v>
      </c>
      <c r="C59" s="34" t="n">
        <v>46063</v>
      </c>
      <c r="D59" s="33" t="s">
        <v>283</v>
      </c>
      <c r="E59" s="33" t="s">
        <v>398</v>
      </c>
      <c r="F59" s="33" t="s">
        <v>79</v>
      </c>
      <c r="G59" s="33" t="n">
        <v>45</v>
      </c>
      <c r="H59" s="33" t="s">
        <v>281</v>
      </c>
    </row>
    <row r="60" customFormat="false" ht="15" hidden="false" customHeight="false" outlineLevel="0" collapsed="false">
      <c r="A60" s="33" t="n">
        <v>59</v>
      </c>
      <c r="B60" s="33" t="s">
        <v>399</v>
      </c>
      <c r="C60" s="34" t="n">
        <v>46063</v>
      </c>
      <c r="D60" s="33" t="s">
        <v>279</v>
      </c>
      <c r="E60" s="33" t="s">
        <v>400</v>
      </c>
      <c r="F60" s="33" t="s">
        <v>79</v>
      </c>
      <c r="G60" s="33" t="n">
        <v>25</v>
      </c>
      <c r="H60" s="33" t="s">
        <v>281</v>
      </c>
    </row>
    <row r="61" customFormat="false" ht="15" hidden="false" customHeight="false" outlineLevel="0" collapsed="false">
      <c r="A61" s="33" t="n">
        <v>60</v>
      </c>
      <c r="B61" s="33" t="s">
        <v>401</v>
      </c>
      <c r="C61" s="34" t="n">
        <v>46064</v>
      </c>
      <c r="D61" s="33" t="s">
        <v>291</v>
      </c>
      <c r="E61" s="33" t="s">
        <v>402</v>
      </c>
      <c r="F61" s="33" t="s">
        <v>79</v>
      </c>
      <c r="G61" s="33" t="n">
        <v>50</v>
      </c>
      <c r="H61" s="33" t="s">
        <v>281</v>
      </c>
    </row>
    <row r="62" customFormat="false" ht="15" hidden="false" customHeight="false" outlineLevel="0" collapsed="false">
      <c r="A62" s="33" t="n">
        <v>61</v>
      </c>
      <c r="B62" s="33" t="s">
        <v>403</v>
      </c>
      <c r="C62" s="34" t="n">
        <v>46064</v>
      </c>
      <c r="D62" s="33" t="s">
        <v>279</v>
      </c>
      <c r="E62" s="33" t="s">
        <v>404</v>
      </c>
      <c r="F62" s="33" t="s">
        <v>79</v>
      </c>
      <c r="G62" s="33" t="n">
        <v>20</v>
      </c>
      <c r="H62" s="33" t="s">
        <v>281</v>
      </c>
    </row>
    <row r="63" customFormat="false" ht="15" hidden="false" customHeight="false" outlineLevel="0" collapsed="false">
      <c r="A63" s="33" t="n">
        <v>62</v>
      </c>
      <c r="B63" s="33" t="s">
        <v>405</v>
      </c>
      <c r="C63" s="34" t="n">
        <v>46065</v>
      </c>
      <c r="D63" s="33" t="s">
        <v>283</v>
      </c>
      <c r="E63" s="33" t="s">
        <v>406</v>
      </c>
      <c r="F63" s="33" t="s">
        <v>79</v>
      </c>
      <c r="G63" s="33" t="n">
        <v>45</v>
      </c>
      <c r="H63" s="33" t="s">
        <v>281</v>
      </c>
    </row>
    <row r="64" customFormat="false" ht="15" hidden="false" customHeight="false" outlineLevel="0" collapsed="false">
      <c r="A64" s="33" t="n">
        <v>63</v>
      </c>
      <c r="B64" s="33" t="s">
        <v>407</v>
      </c>
      <c r="C64" s="34" t="n">
        <v>46065</v>
      </c>
      <c r="D64" s="33" t="s">
        <v>279</v>
      </c>
      <c r="E64" s="33" t="s">
        <v>408</v>
      </c>
      <c r="F64" s="33" t="s">
        <v>79</v>
      </c>
      <c r="G64" s="33" t="n">
        <v>25</v>
      </c>
      <c r="H64" s="33" t="s">
        <v>281</v>
      </c>
    </row>
    <row r="65" customFormat="false" ht="15" hidden="false" customHeight="false" outlineLevel="0" collapsed="false">
      <c r="A65" s="33" t="n">
        <v>64</v>
      </c>
      <c r="B65" s="33" t="s">
        <v>409</v>
      </c>
      <c r="C65" s="34" t="n">
        <v>46066</v>
      </c>
      <c r="D65" s="33" t="s">
        <v>314</v>
      </c>
      <c r="E65" s="33" t="s">
        <v>410</v>
      </c>
      <c r="F65" s="33" t="s">
        <v>79</v>
      </c>
      <c r="G65" s="33" t="n">
        <v>25</v>
      </c>
      <c r="H65" s="33" t="s">
        <v>281</v>
      </c>
    </row>
    <row r="66" customFormat="false" ht="15" hidden="false" customHeight="false" outlineLevel="0" collapsed="false">
      <c r="A66" s="33" t="n">
        <v>65</v>
      </c>
      <c r="B66" s="33" t="s">
        <v>411</v>
      </c>
      <c r="C66" s="34" t="n">
        <v>46066</v>
      </c>
      <c r="D66" s="33" t="s">
        <v>279</v>
      </c>
      <c r="E66" s="33" t="s">
        <v>412</v>
      </c>
      <c r="F66" s="33" t="s">
        <v>79</v>
      </c>
      <c r="G66" s="33" t="n">
        <v>20</v>
      </c>
      <c r="H66" s="33" t="s">
        <v>281</v>
      </c>
    </row>
    <row r="67" customFormat="false" ht="15" hidden="false" customHeight="false" outlineLevel="0" collapsed="false">
      <c r="A67" s="33" t="n">
        <v>66</v>
      </c>
      <c r="B67" s="33" t="s">
        <v>413</v>
      </c>
      <c r="C67" s="34" t="n">
        <v>46069</v>
      </c>
      <c r="D67" s="33" t="s">
        <v>283</v>
      </c>
      <c r="E67" s="33" t="s">
        <v>414</v>
      </c>
      <c r="F67" s="33" t="s">
        <v>79</v>
      </c>
      <c r="G67" s="33" t="n">
        <v>50</v>
      </c>
      <c r="H67" s="33" t="s">
        <v>281</v>
      </c>
    </row>
    <row r="68" customFormat="false" ht="15" hidden="false" customHeight="false" outlineLevel="0" collapsed="false">
      <c r="A68" s="33" t="n">
        <v>67</v>
      </c>
      <c r="B68" s="33" t="s">
        <v>415</v>
      </c>
      <c r="C68" s="34" t="n">
        <v>46069</v>
      </c>
      <c r="D68" s="33" t="s">
        <v>279</v>
      </c>
      <c r="E68" s="33" t="s">
        <v>416</v>
      </c>
      <c r="F68" s="33" t="s">
        <v>79</v>
      </c>
      <c r="G68" s="33" t="n">
        <v>25</v>
      </c>
      <c r="H68" s="33" t="s">
        <v>281</v>
      </c>
    </row>
    <row r="69" customFormat="false" ht="15" hidden="false" customHeight="false" outlineLevel="0" collapsed="false">
      <c r="A69" s="33" t="n">
        <v>68</v>
      </c>
      <c r="B69" s="33" t="s">
        <v>417</v>
      </c>
      <c r="C69" s="34" t="n">
        <v>46070</v>
      </c>
      <c r="D69" s="33" t="s">
        <v>291</v>
      </c>
      <c r="E69" s="33" t="s">
        <v>418</v>
      </c>
      <c r="F69" s="33" t="s">
        <v>79</v>
      </c>
      <c r="G69" s="33" t="n">
        <v>55</v>
      </c>
      <c r="H69" s="33" t="s">
        <v>281</v>
      </c>
    </row>
    <row r="70" customFormat="false" ht="15" hidden="false" customHeight="false" outlineLevel="0" collapsed="false">
      <c r="A70" s="33" t="n">
        <v>69</v>
      </c>
      <c r="B70" s="33" t="s">
        <v>419</v>
      </c>
      <c r="C70" s="34" t="n">
        <v>46070</v>
      </c>
      <c r="D70" s="33" t="s">
        <v>279</v>
      </c>
      <c r="E70" s="33" t="s">
        <v>420</v>
      </c>
      <c r="F70" s="33"/>
      <c r="G70" s="33" t="n">
        <v>20</v>
      </c>
      <c r="H70" s="33" t="s">
        <v>281</v>
      </c>
    </row>
    <row r="71" customFormat="false" ht="15" hidden="false" customHeight="false" outlineLevel="0" collapsed="false">
      <c r="A71" s="33" t="n">
        <v>70</v>
      </c>
      <c r="B71" s="33" t="s">
        <v>421</v>
      </c>
      <c r="C71" s="34" t="n">
        <v>46071</v>
      </c>
      <c r="D71" s="33" t="s">
        <v>283</v>
      </c>
      <c r="E71" s="33" t="s">
        <v>422</v>
      </c>
      <c r="F71" s="33" t="s">
        <v>79</v>
      </c>
      <c r="G71" s="33" t="n">
        <v>45</v>
      </c>
      <c r="H71" s="33" t="s">
        <v>281</v>
      </c>
    </row>
    <row r="72" customFormat="false" ht="15" hidden="false" customHeight="false" outlineLevel="0" collapsed="false">
      <c r="A72" s="33" t="n">
        <v>71</v>
      </c>
      <c r="B72" s="33" t="s">
        <v>423</v>
      </c>
      <c r="C72" s="34" t="n">
        <v>46071</v>
      </c>
      <c r="D72" s="33" t="s">
        <v>286</v>
      </c>
      <c r="E72" s="33" t="s">
        <v>424</v>
      </c>
      <c r="F72" s="33" t="s">
        <v>79</v>
      </c>
      <c r="G72" s="33" t="n">
        <v>10</v>
      </c>
      <c r="H72" s="33" t="s">
        <v>281</v>
      </c>
    </row>
    <row r="73" customFormat="false" ht="15" hidden="false" customHeight="false" outlineLevel="0" collapsed="false">
      <c r="A73" s="33" t="n">
        <v>72</v>
      </c>
      <c r="B73" s="33" t="s">
        <v>425</v>
      </c>
      <c r="C73" s="34" t="n">
        <v>46072</v>
      </c>
      <c r="D73" s="33" t="s">
        <v>279</v>
      </c>
      <c r="E73" s="33" t="s">
        <v>426</v>
      </c>
      <c r="F73" s="33" t="s">
        <v>79</v>
      </c>
      <c r="G73" s="33" t="n">
        <v>20</v>
      </c>
      <c r="H73" s="33" t="s">
        <v>281</v>
      </c>
    </row>
    <row r="74" customFormat="false" ht="15" hidden="false" customHeight="false" outlineLevel="0" collapsed="false">
      <c r="A74" s="33" t="n">
        <v>73</v>
      </c>
      <c r="B74" s="33" t="s">
        <v>427</v>
      </c>
      <c r="C74" s="34" t="n">
        <v>46072</v>
      </c>
      <c r="D74" s="33" t="s">
        <v>279</v>
      </c>
      <c r="E74" s="33" t="s">
        <v>428</v>
      </c>
      <c r="F74" s="33" t="s">
        <v>79</v>
      </c>
      <c r="G74" s="33" t="n">
        <v>25</v>
      </c>
      <c r="H74" s="33" t="s">
        <v>281</v>
      </c>
    </row>
    <row r="75" customFormat="false" ht="15" hidden="false" customHeight="false" outlineLevel="0" collapsed="false">
      <c r="A75" s="33" t="n">
        <v>74</v>
      </c>
      <c r="B75" s="33" t="s">
        <v>429</v>
      </c>
      <c r="C75" s="34" t="n">
        <v>46073</v>
      </c>
      <c r="D75" s="33" t="s">
        <v>283</v>
      </c>
      <c r="E75" s="33" t="s">
        <v>430</v>
      </c>
      <c r="F75" s="33" t="s">
        <v>79</v>
      </c>
      <c r="G75" s="33" t="n">
        <v>45</v>
      </c>
      <c r="H75" s="33" t="s">
        <v>281</v>
      </c>
    </row>
    <row r="76" customFormat="false" ht="15" hidden="false" customHeight="false" outlineLevel="0" collapsed="false">
      <c r="A76" s="33" t="n">
        <v>75</v>
      </c>
      <c r="B76" s="33" t="s">
        <v>431</v>
      </c>
      <c r="C76" s="34" t="n">
        <v>46073</v>
      </c>
      <c r="D76" s="33" t="s">
        <v>291</v>
      </c>
      <c r="E76" s="33" t="s">
        <v>432</v>
      </c>
      <c r="F76" s="33" t="s">
        <v>79</v>
      </c>
      <c r="G76" s="33" t="n">
        <v>50</v>
      </c>
      <c r="H76" s="33" t="s">
        <v>281</v>
      </c>
    </row>
    <row r="77" customFormat="false" ht="15" hidden="false" customHeight="false" outlineLevel="0" collapsed="false">
      <c r="A77" s="33" t="n">
        <v>76</v>
      </c>
      <c r="B77" s="33" t="s">
        <v>433</v>
      </c>
      <c r="C77" s="34" t="n">
        <v>46076</v>
      </c>
      <c r="D77" s="33" t="s">
        <v>279</v>
      </c>
      <c r="E77" s="33" t="s">
        <v>434</v>
      </c>
      <c r="F77" s="33" t="s">
        <v>79</v>
      </c>
      <c r="G77" s="33" t="n">
        <v>20</v>
      </c>
      <c r="H77" s="33" t="s">
        <v>281</v>
      </c>
    </row>
    <row r="78" customFormat="false" ht="15" hidden="false" customHeight="false" outlineLevel="0" collapsed="false">
      <c r="A78" s="33" t="n">
        <v>77</v>
      </c>
      <c r="B78" s="33" t="s">
        <v>435</v>
      </c>
      <c r="C78" s="34" t="n">
        <v>46076</v>
      </c>
      <c r="D78" s="33" t="s">
        <v>279</v>
      </c>
      <c r="E78" s="33" t="s">
        <v>436</v>
      </c>
      <c r="F78" s="33" t="s">
        <v>79</v>
      </c>
      <c r="G78" s="33" t="n">
        <v>25</v>
      </c>
      <c r="H78" s="33" t="s">
        <v>281</v>
      </c>
    </row>
    <row r="79" customFormat="false" ht="15" hidden="false" customHeight="false" outlineLevel="0" collapsed="false">
      <c r="A79" s="33" t="n">
        <v>78</v>
      </c>
      <c r="B79" s="33" t="s">
        <v>437</v>
      </c>
      <c r="C79" s="34" t="n">
        <v>46077</v>
      </c>
      <c r="D79" s="33" t="s">
        <v>283</v>
      </c>
      <c r="E79" s="33" t="s">
        <v>438</v>
      </c>
      <c r="F79" s="33" t="s">
        <v>79</v>
      </c>
      <c r="G79" s="33" t="n">
        <v>45</v>
      </c>
      <c r="H79" s="33" t="s">
        <v>281</v>
      </c>
    </row>
    <row r="80" customFormat="false" ht="15" hidden="false" customHeight="false" outlineLevel="0" collapsed="false">
      <c r="A80" s="33" t="n">
        <v>79</v>
      </c>
      <c r="B80" s="33" t="s">
        <v>439</v>
      </c>
      <c r="C80" s="34" t="n">
        <v>46077</v>
      </c>
      <c r="D80" s="33" t="s">
        <v>314</v>
      </c>
      <c r="E80" s="33" t="s">
        <v>440</v>
      </c>
      <c r="F80" s="33" t="s">
        <v>79</v>
      </c>
      <c r="G80" s="33" t="n">
        <v>25</v>
      </c>
      <c r="H80" s="33" t="s">
        <v>281</v>
      </c>
    </row>
    <row r="81" customFormat="false" ht="15" hidden="false" customHeight="false" outlineLevel="0" collapsed="false">
      <c r="A81" s="33" t="n">
        <v>80</v>
      </c>
      <c r="B81" s="33" t="s">
        <v>441</v>
      </c>
      <c r="C81" s="34" t="n">
        <v>46078</v>
      </c>
      <c r="D81" s="33" t="s">
        <v>279</v>
      </c>
      <c r="E81" s="33" t="s">
        <v>442</v>
      </c>
      <c r="F81" s="33" t="s">
        <v>79</v>
      </c>
      <c r="G81" s="33" t="n">
        <v>20</v>
      </c>
      <c r="H81" s="33" t="s">
        <v>281</v>
      </c>
    </row>
    <row r="82" customFormat="false" ht="15" hidden="false" customHeight="false" outlineLevel="0" collapsed="false">
      <c r="A82" s="33" t="n">
        <v>81</v>
      </c>
      <c r="B82" s="33" t="s">
        <v>443</v>
      </c>
      <c r="C82" s="34" t="n">
        <v>46078</v>
      </c>
      <c r="D82" s="33" t="s">
        <v>286</v>
      </c>
      <c r="E82" s="33" t="s">
        <v>444</v>
      </c>
      <c r="F82" s="33" t="s">
        <v>79</v>
      </c>
      <c r="G82" s="33" t="n">
        <v>10</v>
      </c>
      <c r="H82" s="33" t="s">
        <v>281</v>
      </c>
    </row>
    <row r="83" customFormat="false" ht="15" hidden="false" customHeight="false" outlineLevel="0" collapsed="false">
      <c r="A83" s="33" t="n">
        <v>82</v>
      </c>
      <c r="B83" s="33" t="s">
        <v>445</v>
      </c>
      <c r="C83" s="34" t="n">
        <v>46079</v>
      </c>
      <c r="D83" s="33" t="s">
        <v>283</v>
      </c>
      <c r="E83" s="33" t="s">
        <v>446</v>
      </c>
      <c r="F83" s="33" t="s">
        <v>79</v>
      </c>
      <c r="G83" s="33" t="n">
        <v>50</v>
      </c>
      <c r="H83" s="33" t="s">
        <v>281</v>
      </c>
    </row>
    <row r="84" customFormat="false" ht="15" hidden="false" customHeight="false" outlineLevel="0" collapsed="false">
      <c r="A84" s="33" t="n">
        <v>83</v>
      </c>
      <c r="B84" s="33" t="s">
        <v>447</v>
      </c>
      <c r="C84" s="34" t="n">
        <v>46079</v>
      </c>
      <c r="D84" s="33" t="s">
        <v>279</v>
      </c>
      <c r="E84" s="33" t="s">
        <v>448</v>
      </c>
      <c r="F84" s="33" t="s">
        <v>79</v>
      </c>
      <c r="G84" s="33" t="n">
        <v>25</v>
      </c>
      <c r="H84" s="33" t="s">
        <v>281</v>
      </c>
    </row>
    <row r="85" customFormat="false" ht="15" hidden="false" customHeight="false" outlineLevel="0" collapsed="false">
      <c r="A85" s="33" t="n">
        <v>84</v>
      </c>
      <c r="B85" s="33" t="s">
        <v>449</v>
      </c>
      <c r="C85" s="34" t="n">
        <v>46080</v>
      </c>
      <c r="D85" s="33" t="s">
        <v>291</v>
      </c>
      <c r="E85" s="33" t="s">
        <v>450</v>
      </c>
      <c r="F85" s="33" t="s">
        <v>79</v>
      </c>
      <c r="G85" s="33" t="n">
        <v>55</v>
      </c>
      <c r="H85" s="33" t="s">
        <v>281</v>
      </c>
    </row>
    <row r="86" customFormat="false" ht="15" hidden="false" customHeight="false" outlineLevel="0" collapsed="false">
      <c r="A86" s="33" t="n">
        <v>85</v>
      </c>
      <c r="B86" s="33" t="s">
        <v>451</v>
      </c>
      <c r="C86" s="34" t="n">
        <v>46080</v>
      </c>
      <c r="D86" s="33" t="s">
        <v>279</v>
      </c>
      <c r="E86" s="33" t="s">
        <v>452</v>
      </c>
      <c r="F86" s="33" t="s">
        <v>79</v>
      </c>
      <c r="G86" s="33" t="n">
        <v>20</v>
      </c>
      <c r="H86" s="33" t="s">
        <v>281</v>
      </c>
    </row>
    <row r="87" customFormat="false" ht="15" hidden="false" customHeight="false" outlineLevel="0" collapsed="false">
      <c r="A87" s="33" t="n">
        <v>86</v>
      </c>
      <c r="B87" s="33" t="s">
        <v>453</v>
      </c>
      <c r="C87" s="34" t="n">
        <v>46083</v>
      </c>
      <c r="D87" s="33" t="s">
        <v>283</v>
      </c>
      <c r="E87" s="33" t="s">
        <v>454</v>
      </c>
      <c r="F87" s="33" t="s">
        <v>79</v>
      </c>
      <c r="G87" s="33" t="n">
        <v>45</v>
      </c>
      <c r="H87" s="33" t="s">
        <v>281</v>
      </c>
    </row>
    <row r="88" customFormat="false" ht="15" hidden="false" customHeight="false" outlineLevel="0" collapsed="false">
      <c r="A88" s="33" t="n">
        <v>87</v>
      </c>
      <c r="B88" s="33" t="s">
        <v>455</v>
      </c>
      <c r="C88" s="34" t="n">
        <v>46083</v>
      </c>
      <c r="D88" s="33" t="s">
        <v>279</v>
      </c>
      <c r="E88" s="33" t="s">
        <v>456</v>
      </c>
      <c r="F88" s="33" t="s">
        <v>79</v>
      </c>
      <c r="G88" s="33" t="n">
        <v>25</v>
      </c>
      <c r="H88" s="33" t="s">
        <v>281</v>
      </c>
    </row>
    <row r="89" customFormat="false" ht="15" hidden="false" customHeight="false" outlineLevel="0" collapsed="false">
      <c r="A89" s="33" t="n">
        <v>88</v>
      </c>
      <c r="B89" s="33" t="s">
        <v>457</v>
      </c>
      <c r="C89" s="34" t="n">
        <v>46084</v>
      </c>
      <c r="D89" s="33" t="s">
        <v>279</v>
      </c>
      <c r="E89" s="33" t="s">
        <v>458</v>
      </c>
      <c r="F89" s="33" t="s">
        <v>79</v>
      </c>
      <c r="G89" s="33" t="n">
        <v>20</v>
      </c>
      <c r="H89" s="33" t="s">
        <v>281</v>
      </c>
    </row>
    <row r="90" customFormat="false" ht="15" hidden="false" customHeight="false" outlineLevel="0" collapsed="false">
      <c r="A90" s="33" t="n">
        <v>89</v>
      </c>
      <c r="B90" s="33" t="s">
        <v>459</v>
      </c>
      <c r="C90" s="34" t="n">
        <v>46084</v>
      </c>
      <c r="D90" s="33" t="s">
        <v>283</v>
      </c>
      <c r="E90" s="33" t="s">
        <v>460</v>
      </c>
      <c r="F90" s="33" t="s">
        <v>79</v>
      </c>
      <c r="G90" s="33" t="n">
        <v>45</v>
      </c>
      <c r="H90" s="33" t="s">
        <v>281</v>
      </c>
    </row>
    <row r="91" customFormat="false" ht="15" hidden="false" customHeight="false" outlineLevel="0" collapsed="false">
      <c r="A91" s="33" t="n">
        <v>90</v>
      </c>
      <c r="B91" s="33" t="s">
        <v>461</v>
      </c>
      <c r="C91" s="34" t="n">
        <v>46085</v>
      </c>
      <c r="D91" s="33" t="s">
        <v>286</v>
      </c>
      <c r="E91" s="33" t="s">
        <v>462</v>
      </c>
      <c r="F91" s="33" t="s">
        <v>79</v>
      </c>
      <c r="G91" s="33" t="n">
        <v>10</v>
      </c>
      <c r="H91" s="33" t="s">
        <v>281</v>
      </c>
    </row>
    <row r="92" customFormat="false" ht="15" hidden="false" customHeight="false" outlineLevel="0" collapsed="false">
      <c r="A92" s="33" t="n">
        <v>91</v>
      </c>
      <c r="B92" s="33" t="s">
        <v>463</v>
      </c>
      <c r="C92" s="34" t="n">
        <v>46085</v>
      </c>
      <c r="D92" s="33" t="s">
        <v>291</v>
      </c>
      <c r="E92" s="33" t="s">
        <v>464</v>
      </c>
      <c r="F92" s="33" t="s">
        <v>79</v>
      </c>
      <c r="G92" s="33" t="n">
        <v>50</v>
      </c>
      <c r="H92" s="33" t="s">
        <v>281</v>
      </c>
    </row>
    <row r="93" customFormat="false" ht="15" hidden="false" customHeight="false" outlineLevel="0" collapsed="false">
      <c r="A93" s="33" t="n">
        <v>92</v>
      </c>
      <c r="B93" s="33" t="s">
        <v>465</v>
      </c>
      <c r="C93" s="34" t="n">
        <v>46086</v>
      </c>
      <c r="D93" s="33" t="s">
        <v>279</v>
      </c>
      <c r="E93" s="33" t="s">
        <v>466</v>
      </c>
      <c r="F93" s="33" t="s">
        <v>79</v>
      </c>
      <c r="G93" s="33" t="n">
        <v>20</v>
      </c>
      <c r="H93" s="33" t="s">
        <v>281</v>
      </c>
    </row>
    <row r="94" customFormat="false" ht="15" hidden="false" customHeight="false" outlineLevel="0" collapsed="false">
      <c r="A94" s="33" t="n">
        <v>93</v>
      </c>
      <c r="B94" s="33" t="s">
        <v>467</v>
      </c>
      <c r="C94" s="34" t="n">
        <v>46086</v>
      </c>
      <c r="D94" s="33" t="s">
        <v>279</v>
      </c>
      <c r="E94" s="33" t="s">
        <v>468</v>
      </c>
      <c r="F94" s="33" t="s">
        <v>79</v>
      </c>
      <c r="G94" s="33" t="n">
        <v>25</v>
      </c>
      <c r="H94" s="33" t="s">
        <v>281</v>
      </c>
    </row>
    <row r="95" customFormat="false" ht="15" hidden="false" customHeight="false" outlineLevel="0" collapsed="false">
      <c r="A95" s="33" t="n">
        <v>94</v>
      </c>
      <c r="B95" s="33" t="s">
        <v>469</v>
      </c>
      <c r="C95" s="34" t="n">
        <v>46087</v>
      </c>
      <c r="D95" s="33" t="s">
        <v>283</v>
      </c>
      <c r="E95" s="33" t="s">
        <v>470</v>
      </c>
      <c r="F95" s="33" t="s">
        <v>79</v>
      </c>
      <c r="G95" s="33" t="n">
        <v>40</v>
      </c>
      <c r="H95" s="33" t="s">
        <v>281</v>
      </c>
    </row>
    <row r="96" customFormat="false" ht="15" hidden="false" customHeight="false" outlineLevel="0" collapsed="false">
      <c r="A96" s="33" t="n">
        <v>95</v>
      </c>
      <c r="B96" s="33" t="s">
        <v>471</v>
      </c>
      <c r="C96" s="34" t="n">
        <v>46087</v>
      </c>
      <c r="D96" s="33" t="s">
        <v>343</v>
      </c>
      <c r="E96" s="33" t="s">
        <v>472</v>
      </c>
      <c r="F96" s="33" t="s">
        <v>79</v>
      </c>
      <c r="G96" s="33" t="n">
        <v>45</v>
      </c>
      <c r="H96" s="33" t="s">
        <v>281</v>
      </c>
    </row>
    <row r="97" customFormat="false" ht="15" hidden="false" customHeight="false" outlineLevel="0" collapsed="false">
      <c r="A97" s="33" t="n">
        <v>96</v>
      </c>
      <c r="B97" s="33" t="s">
        <v>473</v>
      </c>
      <c r="C97" s="34" t="n">
        <v>46090</v>
      </c>
      <c r="D97" s="33" t="s">
        <v>279</v>
      </c>
      <c r="E97" s="33" t="s">
        <v>474</v>
      </c>
      <c r="F97" s="33" t="s">
        <v>79</v>
      </c>
      <c r="G97" s="33" t="n">
        <v>20</v>
      </c>
      <c r="H97" s="33" t="s">
        <v>281</v>
      </c>
    </row>
    <row r="98" customFormat="false" ht="15" hidden="false" customHeight="false" outlineLevel="0" collapsed="false">
      <c r="A98" s="33" t="n">
        <v>97</v>
      </c>
      <c r="B98" s="33" t="s">
        <v>475</v>
      </c>
      <c r="C98" s="34" t="n">
        <v>46090</v>
      </c>
      <c r="D98" s="33" t="s">
        <v>279</v>
      </c>
      <c r="E98" s="33" t="s">
        <v>476</v>
      </c>
      <c r="F98" s="33" t="s">
        <v>79</v>
      </c>
      <c r="G98" s="33" t="n">
        <v>25</v>
      </c>
      <c r="H98" s="33" t="s">
        <v>281</v>
      </c>
    </row>
    <row r="99" customFormat="false" ht="15" hidden="false" customHeight="false" outlineLevel="0" collapsed="false">
      <c r="A99" s="33" t="n">
        <v>98</v>
      </c>
      <c r="B99" s="33" t="s">
        <v>477</v>
      </c>
      <c r="C99" s="34" t="n">
        <v>46091</v>
      </c>
      <c r="D99" s="33" t="s">
        <v>283</v>
      </c>
      <c r="E99" s="33" t="s">
        <v>478</v>
      </c>
      <c r="F99" s="33" t="s">
        <v>79</v>
      </c>
      <c r="G99" s="33" t="n">
        <v>45</v>
      </c>
      <c r="H99" s="33" t="s">
        <v>281</v>
      </c>
    </row>
    <row r="100" customFormat="false" ht="15" hidden="false" customHeight="false" outlineLevel="0" collapsed="false">
      <c r="A100" s="33" t="n">
        <v>99</v>
      </c>
      <c r="B100" s="33" t="s">
        <v>479</v>
      </c>
      <c r="C100" s="34" t="n">
        <v>46091</v>
      </c>
      <c r="D100" s="33" t="s">
        <v>286</v>
      </c>
      <c r="E100" s="33" t="s">
        <v>480</v>
      </c>
      <c r="F100" s="33" t="s">
        <v>79</v>
      </c>
      <c r="G100" s="33" t="n">
        <v>10</v>
      </c>
      <c r="H100" s="33" t="s">
        <v>281</v>
      </c>
    </row>
    <row r="101" customFormat="false" ht="15" hidden="false" customHeight="false" outlineLevel="0" collapsed="false">
      <c r="A101" s="33" t="n">
        <v>100</v>
      </c>
      <c r="B101" s="33" t="s">
        <v>481</v>
      </c>
      <c r="C101" s="34" t="n">
        <v>46092</v>
      </c>
      <c r="D101" s="33" t="s">
        <v>291</v>
      </c>
      <c r="E101" s="33" t="s">
        <v>482</v>
      </c>
      <c r="F101" s="33" t="s">
        <v>79</v>
      </c>
      <c r="G101" s="33" t="n">
        <v>50</v>
      </c>
      <c r="H101" s="33" t="s">
        <v>281</v>
      </c>
    </row>
    <row r="102" customFormat="false" ht="15" hidden="false" customHeight="false" outlineLevel="0" collapsed="false">
      <c r="A102" s="33" t="n">
        <v>101</v>
      </c>
      <c r="B102" s="33" t="s">
        <v>483</v>
      </c>
      <c r="C102" s="34" t="n">
        <v>46092</v>
      </c>
      <c r="D102" s="33" t="s">
        <v>279</v>
      </c>
      <c r="E102" s="33" t="s">
        <v>484</v>
      </c>
      <c r="F102" s="33"/>
      <c r="G102" s="33" t="n">
        <v>20</v>
      </c>
      <c r="H102" s="33" t="s">
        <v>281</v>
      </c>
    </row>
    <row r="103" customFormat="false" ht="15" hidden="false" customHeight="false" outlineLevel="0" collapsed="false">
      <c r="A103" s="33" t="n">
        <v>102</v>
      </c>
      <c r="B103" s="33" t="s">
        <v>485</v>
      </c>
      <c r="C103" s="34" t="n">
        <v>46093</v>
      </c>
      <c r="D103" s="33" t="s">
        <v>283</v>
      </c>
      <c r="E103" s="33" t="s">
        <v>486</v>
      </c>
      <c r="F103" s="33" t="s">
        <v>79</v>
      </c>
      <c r="G103" s="33" t="n">
        <v>45</v>
      </c>
      <c r="H103" s="33" t="s">
        <v>281</v>
      </c>
    </row>
    <row r="104" customFormat="false" ht="15" hidden="false" customHeight="false" outlineLevel="0" collapsed="false">
      <c r="A104" s="33" t="n">
        <v>103</v>
      </c>
      <c r="B104" s="33" t="s">
        <v>487</v>
      </c>
      <c r="C104" s="34" t="n">
        <v>46093</v>
      </c>
      <c r="D104" s="33" t="s">
        <v>279</v>
      </c>
      <c r="E104" s="33" t="s">
        <v>488</v>
      </c>
      <c r="F104" s="33" t="s">
        <v>79</v>
      </c>
      <c r="G104" s="33" t="n">
        <v>25</v>
      </c>
      <c r="H104" s="33" t="s">
        <v>281</v>
      </c>
    </row>
    <row r="105" customFormat="false" ht="15" hidden="false" customHeight="false" outlineLevel="0" collapsed="false">
      <c r="A105" s="33" t="n">
        <v>104</v>
      </c>
      <c r="B105" s="33" t="s">
        <v>489</v>
      </c>
      <c r="C105" s="34" t="n">
        <v>46094</v>
      </c>
      <c r="D105" s="33" t="s">
        <v>314</v>
      </c>
      <c r="E105" s="33" t="s">
        <v>490</v>
      </c>
      <c r="F105" s="33" t="s">
        <v>79</v>
      </c>
      <c r="G105" s="33" t="n">
        <v>25</v>
      </c>
      <c r="H105" s="33" t="s">
        <v>281</v>
      </c>
    </row>
    <row r="106" customFormat="false" ht="15" hidden="false" customHeight="false" outlineLevel="0" collapsed="false">
      <c r="A106" s="33" t="n">
        <v>105</v>
      </c>
      <c r="B106" s="33" t="s">
        <v>491</v>
      </c>
      <c r="C106" s="34" t="n">
        <v>46094</v>
      </c>
      <c r="D106" s="33" t="s">
        <v>279</v>
      </c>
      <c r="E106" s="33" t="s">
        <v>492</v>
      </c>
      <c r="F106" s="33" t="s">
        <v>79</v>
      </c>
      <c r="G106" s="33" t="n">
        <v>20</v>
      </c>
      <c r="H106" s="33" t="s">
        <v>281</v>
      </c>
    </row>
    <row r="107" customFormat="false" ht="15" hidden="false" customHeight="false" outlineLevel="0" collapsed="false">
      <c r="A107" s="33" t="n">
        <v>106</v>
      </c>
      <c r="B107" s="33" t="s">
        <v>493</v>
      </c>
      <c r="C107" s="34" t="n">
        <v>46097</v>
      </c>
      <c r="D107" s="33" t="s">
        <v>283</v>
      </c>
      <c r="E107" s="33" t="s">
        <v>494</v>
      </c>
      <c r="F107" s="33" t="s">
        <v>79</v>
      </c>
      <c r="G107" s="33" t="n">
        <v>50</v>
      </c>
      <c r="H107" s="33" t="s">
        <v>281</v>
      </c>
    </row>
    <row r="108" customFormat="false" ht="15" hidden="false" customHeight="false" outlineLevel="0" collapsed="false">
      <c r="A108" s="33" t="n">
        <v>107</v>
      </c>
      <c r="B108" s="33" t="s">
        <v>495</v>
      </c>
      <c r="C108" s="34" t="n">
        <v>46097</v>
      </c>
      <c r="D108" s="33" t="s">
        <v>279</v>
      </c>
      <c r="E108" s="33" t="s">
        <v>496</v>
      </c>
      <c r="F108" s="33" t="s">
        <v>79</v>
      </c>
      <c r="G108" s="33" t="n">
        <v>25</v>
      </c>
      <c r="H108" s="33" t="s">
        <v>281</v>
      </c>
    </row>
    <row r="109" customFormat="false" ht="15" hidden="false" customHeight="false" outlineLevel="0" collapsed="false">
      <c r="A109" s="33" t="n">
        <v>108</v>
      </c>
      <c r="B109" s="33" t="s">
        <v>497</v>
      </c>
      <c r="C109" s="34" t="n">
        <v>46098</v>
      </c>
      <c r="D109" s="33" t="s">
        <v>291</v>
      </c>
      <c r="E109" s="33" t="s">
        <v>498</v>
      </c>
      <c r="F109" s="33" t="s">
        <v>79</v>
      </c>
      <c r="G109" s="33" t="n">
        <v>55</v>
      </c>
      <c r="H109" s="33" t="s">
        <v>281</v>
      </c>
    </row>
    <row r="110" customFormat="false" ht="15" hidden="false" customHeight="false" outlineLevel="0" collapsed="false">
      <c r="A110" s="33" t="n">
        <v>109</v>
      </c>
      <c r="B110" s="33" t="s">
        <v>499</v>
      </c>
      <c r="C110" s="34" t="n">
        <v>46098</v>
      </c>
      <c r="D110" s="33" t="s">
        <v>279</v>
      </c>
      <c r="E110" s="33" t="s">
        <v>500</v>
      </c>
      <c r="F110" s="33" t="s">
        <v>79</v>
      </c>
      <c r="G110" s="33" t="n">
        <v>20</v>
      </c>
      <c r="H110" s="33" t="s">
        <v>281</v>
      </c>
    </row>
    <row r="111" customFormat="false" ht="15" hidden="false" customHeight="false" outlineLevel="0" collapsed="false">
      <c r="A111" s="33" t="n">
        <v>110</v>
      </c>
      <c r="B111" s="33" t="s">
        <v>501</v>
      </c>
      <c r="C111" s="34" t="n">
        <v>46099</v>
      </c>
      <c r="D111" s="33" t="s">
        <v>283</v>
      </c>
      <c r="E111" s="33" t="s">
        <v>502</v>
      </c>
      <c r="F111" s="33" t="s">
        <v>79</v>
      </c>
      <c r="G111" s="33" t="n">
        <v>45</v>
      </c>
      <c r="H111" s="33" t="s">
        <v>281</v>
      </c>
    </row>
    <row r="112" customFormat="false" ht="15" hidden="false" customHeight="false" outlineLevel="0" collapsed="false">
      <c r="A112" s="33" t="n">
        <v>111</v>
      </c>
      <c r="B112" s="33" t="s">
        <v>503</v>
      </c>
      <c r="C112" s="34" t="n">
        <v>46099</v>
      </c>
      <c r="D112" s="33" t="s">
        <v>286</v>
      </c>
      <c r="E112" s="33" t="s">
        <v>504</v>
      </c>
      <c r="F112" s="33" t="s">
        <v>79</v>
      </c>
      <c r="G112" s="33" t="n">
        <v>10</v>
      </c>
      <c r="H112" s="33" t="s">
        <v>281</v>
      </c>
    </row>
    <row r="113" customFormat="false" ht="15" hidden="false" customHeight="false" outlineLevel="0" collapsed="false">
      <c r="A113" s="33" t="n">
        <v>112</v>
      </c>
      <c r="B113" s="33" t="s">
        <v>505</v>
      </c>
      <c r="C113" s="34" t="n">
        <v>46100</v>
      </c>
      <c r="D113" s="33" t="s">
        <v>279</v>
      </c>
      <c r="E113" s="33" t="s">
        <v>506</v>
      </c>
      <c r="F113" s="33" t="s">
        <v>79</v>
      </c>
      <c r="G113" s="33" t="n">
        <v>20</v>
      </c>
      <c r="H113" s="33" t="s">
        <v>281</v>
      </c>
    </row>
    <row r="114" customFormat="false" ht="15" hidden="false" customHeight="false" outlineLevel="0" collapsed="false">
      <c r="A114" s="33" t="n">
        <v>113</v>
      </c>
      <c r="B114" s="33" t="s">
        <v>507</v>
      </c>
      <c r="C114" s="34" t="n">
        <v>46100</v>
      </c>
      <c r="D114" s="33" t="s">
        <v>279</v>
      </c>
      <c r="E114" s="33" t="s">
        <v>508</v>
      </c>
      <c r="F114" s="33" t="s">
        <v>79</v>
      </c>
      <c r="G114" s="33" t="n">
        <v>25</v>
      </c>
      <c r="H114" s="33" t="s">
        <v>281</v>
      </c>
    </row>
    <row r="115" customFormat="false" ht="15" hidden="false" customHeight="false" outlineLevel="0" collapsed="false">
      <c r="A115" s="33" t="n">
        <v>114</v>
      </c>
      <c r="B115" s="33" t="s">
        <v>509</v>
      </c>
      <c r="C115" s="34" t="n">
        <v>46101</v>
      </c>
      <c r="D115" s="33" t="s">
        <v>283</v>
      </c>
      <c r="E115" s="33" t="s">
        <v>510</v>
      </c>
      <c r="F115" s="33" t="s">
        <v>79</v>
      </c>
      <c r="G115" s="33" t="n">
        <v>45</v>
      </c>
      <c r="H115" s="33" t="s">
        <v>281</v>
      </c>
    </row>
    <row r="116" customFormat="false" ht="15" hidden="false" customHeight="false" outlineLevel="0" collapsed="false">
      <c r="A116" s="33" t="n">
        <v>115</v>
      </c>
      <c r="B116" s="33" t="s">
        <v>511</v>
      </c>
      <c r="C116" s="34" t="n">
        <v>46101</v>
      </c>
      <c r="D116" s="33" t="s">
        <v>291</v>
      </c>
      <c r="E116" s="33" t="s">
        <v>512</v>
      </c>
      <c r="F116" s="33" t="s">
        <v>79</v>
      </c>
      <c r="G116" s="33" t="n">
        <v>50</v>
      </c>
      <c r="H116" s="33" t="s">
        <v>281</v>
      </c>
    </row>
    <row r="117" customFormat="false" ht="15" hidden="false" customHeight="false" outlineLevel="0" collapsed="false">
      <c r="A117" s="33" t="n">
        <v>116</v>
      </c>
      <c r="B117" s="33" t="s">
        <v>513</v>
      </c>
      <c r="C117" s="34" t="n">
        <v>46104</v>
      </c>
      <c r="D117" s="33" t="s">
        <v>279</v>
      </c>
      <c r="E117" s="33" t="s">
        <v>514</v>
      </c>
      <c r="F117" s="33" t="s">
        <v>79</v>
      </c>
      <c r="G117" s="33" t="n">
        <v>20</v>
      </c>
      <c r="H117" s="33" t="s">
        <v>281</v>
      </c>
    </row>
    <row r="118" customFormat="false" ht="15" hidden="false" customHeight="false" outlineLevel="0" collapsed="false">
      <c r="A118" s="33" t="n">
        <v>117</v>
      </c>
      <c r="B118" s="33" t="s">
        <v>515</v>
      </c>
      <c r="C118" s="34" t="n">
        <v>46104</v>
      </c>
      <c r="D118" s="33" t="s">
        <v>279</v>
      </c>
      <c r="E118" s="33" t="s">
        <v>516</v>
      </c>
      <c r="F118" s="33" t="s">
        <v>79</v>
      </c>
      <c r="G118" s="33" t="n">
        <v>25</v>
      </c>
      <c r="H118" s="33" t="s">
        <v>281</v>
      </c>
    </row>
    <row r="119" customFormat="false" ht="15" hidden="false" customHeight="false" outlineLevel="0" collapsed="false">
      <c r="A119" s="33" t="n">
        <v>118</v>
      </c>
      <c r="B119" s="33" t="s">
        <v>517</v>
      </c>
      <c r="C119" s="34" t="n">
        <v>46105</v>
      </c>
      <c r="D119" s="33" t="s">
        <v>283</v>
      </c>
      <c r="E119" s="33" t="s">
        <v>518</v>
      </c>
      <c r="F119" s="33" t="s">
        <v>79</v>
      </c>
      <c r="G119" s="33" t="n">
        <v>45</v>
      </c>
      <c r="H119" s="33" t="s">
        <v>281</v>
      </c>
    </row>
    <row r="120" customFormat="false" ht="15" hidden="false" customHeight="false" outlineLevel="0" collapsed="false">
      <c r="A120" s="33" t="n">
        <v>119</v>
      </c>
      <c r="B120" s="33" t="s">
        <v>519</v>
      </c>
      <c r="C120" s="34" t="n">
        <v>46105</v>
      </c>
      <c r="D120" s="33" t="s">
        <v>314</v>
      </c>
      <c r="E120" s="33" t="s">
        <v>520</v>
      </c>
      <c r="F120" s="33" t="s">
        <v>79</v>
      </c>
      <c r="G120" s="33" t="n">
        <v>25</v>
      </c>
      <c r="H120" s="33" t="s">
        <v>281</v>
      </c>
    </row>
    <row r="121" customFormat="false" ht="15" hidden="false" customHeight="false" outlineLevel="0" collapsed="false">
      <c r="A121" s="33" t="n">
        <v>120</v>
      </c>
      <c r="B121" s="33" t="s">
        <v>521</v>
      </c>
      <c r="C121" s="34" t="n">
        <v>46106</v>
      </c>
      <c r="D121" s="33" t="s">
        <v>279</v>
      </c>
      <c r="E121" s="33" t="s">
        <v>522</v>
      </c>
      <c r="F121" s="33" t="s">
        <v>79</v>
      </c>
      <c r="G121" s="33" t="n">
        <v>20</v>
      </c>
      <c r="H121" s="33" t="s">
        <v>281</v>
      </c>
    </row>
    <row r="122" customFormat="false" ht="15" hidden="false" customHeight="false" outlineLevel="0" collapsed="false">
      <c r="A122" s="33" t="n">
        <v>121</v>
      </c>
      <c r="B122" s="33" t="s">
        <v>523</v>
      </c>
      <c r="C122" s="34" t="n">
        <v>46106</v>
      </c>
      <c r="D122" s="33" t="s">
        <v>286</v>
      </c>
      <c r="E122" s="33" t="s">
        <v>524</v>
      </c>
      <c r="F122" s="33" t="s">
        <v>79</v>
      </c>
      <c r="G122" s="33" t="n">
        <v>10</v>
      </c>
      <c r="H122" s="33" t="s">
        <v>281</v>
      </c>
    </row>
    <row r="123" customFormat="false" ht="15" hidden="false" customHeight="false" outlineLevel="0" collapsed="false">
      <c r="A123" s="33" t="n">
        <v>122</v>
      </c>
      <c r="B123" s="33" t="s">
        <v>525</v>
      </c>
      <c r="C123" s="34" t="n">
        <v>46107</v>
      </c>
      <c r="D123" s="33" t="s">
        <v>283</v>
      </c>
      <c r="E123" s="33" t="s">
        <v>526</v>
      </c>
      <c r="F123" s="33" t="s">
        <v>79</v>
      </c>
      <c r="G123" s="33" t="n">
        <v>35</v>
      </c>
      <c r="H123" s="33" t="s">
        <v>281</v>
      </c>
    </row>
    <row r="124" customFormat="false" ht="15" hidden="false" customHeight="false" outlineLevel="0" collapsed="false">
      <c r="A124" s="33" t="n">
        <v>123</v>
      </c>
      <c r="B124" s="33" t="s">
        <v>527</v>
      </c>
      <c r="C124" s="34" t="n">
        <v>46107</v>
      </c>
      <c r="D124" s="33" t="s">
        <v>279</v>
      </c>
      <c r="E124" s="33" t="s">
        <v>528</v>
      </c>
      <c r="F124" s="33" t="s">
        <v>79</v>
      </c>
      <c r="G124" s="33" t="n">
        <v>15</v>
      </c>
      <c r="H124" s="33" t="s">
        <v>281</v>
      </c>
    </row>
    <row r="125" customFormat="false" ht="15" hidden="false" customHeight="false" outlineLevel="0" collapsed="false">
      <c r="A125" s="33" t="n">
        <v>124</v>
      </c>
      <c r="B125" s="33" t="s">
        <v>529</v>
      </c>
      <c r="C125" s="34" t="n">
        <v>46108</v>
      </c>
      <c r="D125" s="33" t="s">
        <v>291</v>
      </c>
      <c r="E125" s="33" t="s">
        <v>530</v>
      </c>
      <c r="F125" s="33" t="s">
        <v>79</v>
      </c>
      <c r="G125" s="33" t="n">
        <v>40</v>
      </c>
      <c r="H125" s="33" t="s">
        <v>281</v>
      </c>
    </row>
    <row r="126" customFormat="false" ht="15" hidden="false" customHeight="false" outlineLevel="0" collapsed="false">
      <c r="A126" s="33" t="n">
        <v>125</v>
      </c>
      <c r="B126" s="33" t="s">
        <v>531</v>
      </c>
      <c r="C126" s="34" t="n">
        <v>46108</v>
      </c>
      <c r="D126" s="33" t="s">
        <v>279</v>
      </c>
      <c r="E126" s="33" t="s">
        <v>532</v>
      </c>
      <c r="F126" s="33" t="s">
        <v>79</v>
      </c>
      <c r="G126" s="33" t="n">
        <v>20</v>
      </c>
      <c r="H126" s="33" t="s">
        <v>281</v>
      </c>
    </row>
    <row r="127" customFormat="false" ht="15" hidden="false" customHeight="false" outlineLevel="0" collapsed="false">
      <c r="A127" s="33" t="n">
        <v>126</v>
      </c>
      <c r="B127" s="33" t="s">
        <v>533</v>
      </c>
      <c r="C127" s="34" t="n">
        <v>46111</v>
      </c>
      <c r="D127" s="33" t="s">
        <v>283</v>
      </c>
      <c r="E127" s="33" t="s">
        <v>534</v>
      </c>
      <c r="F127" s="33" t="s">
        <v>79</v>
      </c>
      <c r="G127" s="33" t="n">
        <v>30</v>
      </c>
      <c r="H127" s="33" t="s">
        <v>281</v>
      </c>
    </row>
    <row r="128" customFormat="false" ht="15" hidden="false" customHeight="false" outlineLevel="0" collapsed="false">
      <c r="A128" s="33" t="n">
        <v>127</v>
      </c>
      <c r="B128" s="33" t="s">
        <v>535</v>
      </c>
      <c r="C128" s="34" t="n">
        <v>46111</v>
      </c>
      <c r="D128" s="33" t="s">
        <v>279</v>
      </c>
      <c r="E128" s="33" t="s">
        <v>536</v>
      </c>
      <c r="F128" s="33" t="s">
        <v>79</v>
      </c>
      <c r="G128" s="33" t="n">
        <v>15</v>
      </c>
      <c r="H128" s="33" t="s">
        <v>281</v>
      </c>
    </row>
    <row r="129" customFormat="false" ht="15" hidden="false" customHeight="false" outlineLevel="0" collapsed="false">
      <c r="A129" s="33" t="n">
        <v>128</v>
      </c>
      <c r="B129" s="33" t="s">
        <v>537</v>
      </c>
      <c r="C129" s="34" t="n">
        <v>46111</v>
      </c>
      <c r="D129" s="33" t="s">
        <v>279</v>
      </c>
      <c r="E129" s="33" t="s">
        <v>538</v>
      </c>
      <c r="F129" s="33" t="s">
        <v>79</v>
      </c>
      <c r="G129" s="33" t="n">
        <v>20</v>
      </c>
      <c r="H129" s="33" t="s">
        <v>539</v>
      </c>
    </row>
    <row r="130" customFormat="false" ht="15" hidden="false" customHeight="false" outlineLevel="0" collapsed="false">
      <c r="A130" s="33" t="n">
        <v>129</v>
      </c>
      <c r="B130" s="33" t="s">
        <v>540</v>
      </c>
      <c r="C130" s="34" t="n">
        <v>46112</v>
      </c>
      <c r="D130" s="33" t="s">
        <v>283</v>
      </c>
      <c r="E130" s="33" t="s">
        <v>541</v>
      </c>
      <c r="F130" s="33" t="s">
        <v>79</v>
      </c>
      <c r="G130" s="33" t="n">
        <v>30</v>
      </c>
      <c r="H130" s="33" t="s">
        <v>539</v>
      </c>
    </row>
    <row r="131" customFormat="false" ht="15" hidden="false" customHeight="false" outlineLevel="0" collapsed="false">
      <c r="A131" s="33" t="n">
        <v>130</v>
      </c>
      <c r="B131" s="33" t="s">
        <v>542</v>
      </c>
      <c r="C131" s="34" t="n">
        <v>46112</v>
      </c>
      <c r="D131" s="33" t="s">
        <v>291</v>
      </c>
      <c r="E131" s="33" t="s">
        <v>543</v>
      </c>
      <c r="F131" s="33" t="s">
        <v>79</v>
      </c>
      <c r="G131" s="33" t="n">
        <v>35</v>
      </c>
      <c r="H131" s="33" t="s">
        <v>281</v>
      </c>
    </row>
    <row r="132" customFormat="false" ht="15" hidden="false" customHeight="false" outlineLevel="0" collapsed="false">
      <c r="A132" s="33" t="n">
        <v>131</v>
      </c>
      <c r="B132" s="33" t="s">
        <v>544</v>
      </c>
      <c r="C132" s="34" t="n">
        <v>46112</v>
      </c>
      <c r="D132" s="33" t="s">
        <v>279</v>
      </c>
      <c r="E132" s="33" t="s">
        <v>545</v>
      </c>
      <c r="F132" s="33" t="s">
        <v>79</v>
      </c>
      <c r="G132" s="33" t="n">
        <v>15</v>
      </c>
      <c r="H132" s="33" t="s">
        <v>281</v>
      </c>
    </row>
    <row r="133" customFormat="false" ht="15" hidden="false" customHeight="false" outlineLevel="0" collapsed="false">
      <c r="A133" s="33" t="n">
        <v>132</v>
      </c>
      <c r="B133" s="33" t="s">
        <v>546</v>
      </c>
      <c r="C133" s="34" t="n">
        <v>46032</v>
      </c>
      <c r="D133" s="33" t="s">
        <v>279</v>
      </c>
      <c r="E133" s="33" t="s">
        <v>547</v>
      </c>
      <c r="F133" s="33" t="s">
        <v>79</v>
      </c>
      <c r="G133" s="33" t="n">
        <v>20</v>
      </c>
      <c r="H133" s="33" t="s">
        <v>281</v>
      </c>
    </row>
    <row r="134" customFormat="false" ht="15" hidden="false" customHeight="false" outlineLevel="0" collapsed="false">
      <c r="A134" s="33" t="n">
        <v>133</v>
      </c>
      <c r="B134" s="33" t="s">
        <v>548</v>
      </c>
      <c r="C134" s="34" t="n">
        <v>46045</v>
      </c>
      <c r="D134" s="33" t="s">
        <v>283</v>
      </c>
      <c r="E134" s="33" t="s">
        <v>549</v>
      </c>
      <c r="F134" s="33" t="s">
        <v>79</v>
      </c>
      <c r="G134" s="33" t="n">
        <v>30</v>
      </c>
      <c r="H134" s="33" t="s">
        <v>281</v>
      </c>
    </row>
    <row r="135" customFormat="false" ht="15" hidden="false" customHeight="false" outlineLevel="0" collapsed="false">
      <c r="A135" s="33" t="n">
        <v>134</v>
      </c>
      <c r="B135" s="33" t="s">
        <v>550</v>
      </c>
      <c r="C135" s="34" t="n">
        <v>46060</v>
      </c>
      <c r="D135" s="33" t="s">
        <v>286</v>
      </c>
      <c r="E135" s="33" t="s">
        <v>551</v>
      </c>
      <c r="F135" s="33" t="s">
        <v>79</v>
      </c>
      <c r="G135" s="33" t="n">
        <v>10</v>
      </c>
      <c r="H135" s="33" t="s">
        <v>281</v>
      </c>
    </row>
    <row r="136" customFormat="false" ht="15" hidden="false" customHeight="false" outlineLevel="0" collapsed="false">
      <c r="A136" s="33" t="n">
        <v>135</v>
      </c>
      <c r="B136" s="33" t="s">
        <v>552</v>
      </c>
      <c r="C136" s="34" t="n">
        <v>46073</v>
      </c>
      <c r="D136" s="33" t="s">
        <v>279</v>
      </c>
      <c r="E136" s="33" t="s">
        <v>553</v>
      </c>
      <c r="F136" s="33" t="s">
        <v>79</v>
      </c>
      <c r="G136" s="33" t="n">
        <v>15</v>
      </c>
      <c r="H136" s="33" t="s">
        <v>281</v>
      </c>
    </row>
    <row r="137" customFormat="false" ht="15" hidden="false" customHeight="false" outlineLevel="0" collapsed="false">
      <c r="A137" s="33" t="n">
        <v>136</v>
      </c>
      <c r="B137" s="33" t="s">
        <v>554</v>
      </c>
      <c r="C137" s="34" t="n">
        <v>46087</v>
      </c>
      <c r="D137" s="33" t="s">
        <v>291</v>
      </c>
      <c r="E137" s="33" t="s">
        <v>555</v>
      </c>
      <c r="F137" s="33" t="s">
        <v>79</v>
      </c>
      <c r="G137" s="33" t="n">
        <v>40</v>
      </c>
      <c r="H137" s="33" t="s">
        <v>281</v>
      </c>
    </row>
    <row r="138" customFormat="false" ht="15" hidden="false" customHeight="false" outlineLevel="0" collapsed="false">
      <c r="A138" s="33" t="n">
        <v>137</v>
      </c>
      <c r="B138" s="33" t="s">
        <v>556</v>
      </c>
      <c r="C138" s="34" t="n">
        <v>46094</v>
      </c>
      <c r="D138" s="33" t="s">
        <v>283</v>
      </c>
      <c r="E138" s="33" t="s">
        <v>557</v>
      </c>
      <c r="F138" s="33" t="s">
        <v>79</v>
      </c>
      <c r="G138" s="33" t="n">
        <v>30</v>
      </c>
      <c r="H138" s="33" t="s">
        <v>281</v>
      </c>
    </row>
    <row r="139" customFormat="false" ht="15" hidden="false" customHeight="false" outlineLevel="0" collapsed="false">
      <c r="A139" s="33" t="n">
        <v>138</v>
      </c>
      <c r="B139" s="33" t="s">
        <v>558</v>
      </c>
      <c r="C139" s="34" t="n">
        <v>46039</v>
      </c>
      <c r="D139" s="33" t="s">
        <v>279</v>
      </c>
      <c r="E139" s="33" t="s">
        <v>559</v>
      </c>
      <c r="F139" s="33" t="s">
        <v>79</v>
      </c>
      <c r="G139" s="33" t="n">
        <v>20</v>
      </c>
      <c r="H139" s="33" t="s">
        <v>281</v>
      </c>
    </row>
    <row r="140" customFormat="false" ht="15" hidden="false" customHeight="false" outlineLevel="0" collapsed="false">
      <c r="A140" s="33" t="n">
        <v>139</v>
      </c>
      <c r="B140" s="33" t="s">
        <v>560</v>
      </c>
      <c r="C140" s="34" t="n">
        <v>46067</v>
      </c>
      <c r="D140" s="33" t="s">
        <v>279</v>
      </c>
      <c r="E140" s="33" t="s">
        <v>561</v>
      </c>
      <c r="F140" s="33" t="s">
        <v>79</v>
      </c>
      <c r="G140" s="33" t="n">
        <v>15</v>
      </c>
      <c r="H140" s="33" t="s">
        <v>281</v>
      </c>
    </row>
    <row r="141" customFormat="false" ht="15" hidden="false" customHeight="false" outlineLevel="0" collapsed="false">
      <c r="A141" s="33" t="n">
        <v>140</v>
      </c>
      <c r="B141" s="33" t="s">
        <v>562</v>
      </c>
      <c r="C141" s="34" t="n">
        <v>46085</v>
      </c>
      <c r="D141" s="33" t="s">
        <v>314</v>
      </c>
      <c r="E141" s="33" t="s">
        <v>563</v>
      </c>
      <c r="F141" s="33" t="s">
        <v>79</v>
      </c>
      <c r="G141" s="33" t="n">
        <v>25</v>
      </c>
      <c r="H141" s="33" t="s">
        <v>281</v>
      </c>
    </row>
    <row r="142" customFormat="false" ht="15" hidden="false" customHeight="false" outlineLevel="0" collapsed="false">
      <c r="A142" s="33" t="n">
        <v>141</v>
      </c>
      <c r="B142" s="33" t="s">
        <v>564</v>
      </c>
      <c r="C142" s="34" t="n">
        <v>46102</v>
      </c>
      <c r="D142" s="33" t="s">
        <v>283</v>
      </c>
      <c r="E142" s="33" t="s">
        <v>565</v>
      </c>
      <c r="F142" s="33" t="s">
        <v>79</v>
      </c>
      <c r="G142" s="33" t="n">
        <v>30</v>
      </c>
      <c r="H142" s="33"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54"/>
    <col collapsed="false" customWidth="true" hidden="false" outlineLevel="0" max="4" min="4" style="0" width="26"/>
  </cols>
  <sheetData>
    <row r="1" customFormat="false" ht="15" hidden="false" customHeight="false" outlineLevel="0" collapsed="false">
      <c r="A1" s="8" t="s">
        <v>566</v>
      </c>
    </row>
    <row r="2" customFormat="false" ht="15" hidden="false" customHeight="false" outlineLevel="0" collapsed="false">
      <c r="A2" s="15" t="s">
        <v>3</v>
      </c>
      <c r="B2" s="15" t="s">
        <v>567</v>
      </c>
      <c r="C2" s="15" t="s">
        <v>568</v>
      </c>
      <c r="D2" s="15" t="s">
        <v>159</v>
      </c>
    </row>
    <row r="3" customFormat="false" ht="23.85" hidden="false" customHeight="false" outlineLevel="0" collapsed="false">
      <c r="A3" s="25" t="s">
        <v>40</v>
      </c>
      <c r="B3" s="17" t="s">
        <v>569</v>
      </c>
      <c r="C3" s="17" t="s">
        <v>570</v>
      </c>
      <c r="D3" s="17" t="s">
        <v>571</v>
      </c>
    </row>
    <row r="4" customFormat="false" ht="23.85" hidden="false" customHeight="false" outlineLevel="0" collapsed="false">
      <c r="A4" s="25" t="s">
        <v>40</v>
      </c>
      <c r="B4" s="17" t="s">
        <v>572</v>
      </c>
      <c r="C4" s="17" t="s">
        <v>573</v>
      </c>
      <c r="D4" s="17" t="s">
        <v>121</v>
      </c>
    </row>
    <row r="5" customFormat="false" ht="15" hidden="false" customHeight="false" outlineLevel="0" collapsed="false">
      <c r="A5" s="25" t="s">
        <v>40</v>
      </c>
      <c r="B5" s="17" t="s">
        <v>574</v>
      </c>
      <c r="C5" s="17" t="s">
        <v>575</v>
      </c>
      <c r="D5" s="17" t="s">
        <v>576</v>
      </c>
    </row>
    <row r="6" customFormat="false" ht="15" hidden="false" customHeight="false" outlineLevel="0" collapsed="false">
      <c r="A6" s="17" t="s">
        <v>577</v>
      </c>
      <c r="B6" s="17" t="s">
        <v>578</v>
      </c>
      <c r="C6" s="17" t="s">
        <v>579</v>
      </c>
      <c r="D6" s="17" t="s">
        <v>580</v>
      </c>
    </row>
    <row r="7" customFormat="false" ht="23.85" hidden="false" customHeight="false" outlineLevel="0" collapsed="false">
      <c r="A7" s="17" t="s">
        <v>54</v>
      </c>
      <c r="B7" s="17" t="s">
        <v>581</v>
      </c>
      <c r="C7" s="17" t="s">
        <v>582</v>
      </c>
      <c r="D7" s="17" t="s">
        <v>583</v>
      </c>
    </row>
    <row r="8" customFormat="false" ht="23.85" hidden="false" customHeight="false" outlineLevel="0" collapsed="false">
      <c r="A8" s="17" t="s">
        <v>67</v>
      </c>
      <c r="B8" s="17" t="s">
        <v>584</v>
      </c>
      <c r="C8" s="17" t="s">
        <v>585</v>
      </c>
      <c r="D8" s="17" t="s">
        <v>586</v>
      </c>
    </row>
    <row r="9" customFormat="false" ht="15" hidden="false" customHeight="false" outlineLevel="0" collapsed="false">
      <c r="A9" s="17" t="s">
        <v>96</v>
      </c>
      <c r="B9" s="17" t="s">
        <v>587</v>
      </c>
      <c r="C9" s="17" t="s">
        <v>588</v>
      </c>
      <c r="D9" s="17" t="s">
        <v>589</v>
      </c>
    </row>
    <row r="10" customFormat="false" ht="15" hidden="false" customHeight="false" outlineLevel="0" collapsed="false">
      <c r="A10" s="17" t="s">
        <v>109</v>
      </c>
      <c r="B10" s="17" t="s">
        <v>590</v>
      </c>
      <c r="C10" s="17" t="s">
        <v>591</v>
      </c>
      <c r="D10" s="17" t="s">
        <v>208</v>
      </c>
    </row>
    <row r="11" customFormat="false" ht="15" hidden="false" customHeight="false" outlineLevel="0" collapsed="false">
      <c r="A11" s="17" t="s">
        <v>119</v>
      </c>
      <c r="B11" s="17" t="s">
        <v>592</v>
      </c>
      <c r="C11" s="17" t="s">
        <v>593</v>
      </c>
      <c r="D11" s="17" t="s">
        <v>594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2026-10-28T19:14:42Z</dcterms:created>
  <dc:creator>openpyxl</dc:creator>
  <dc:description/>
  <dc:language>en-US</dc:language>
  <cp:lastModifiedBy/>
  <dcterms:modified xsi:type="dcterms:W3CDTF">2026-10-28T19:14:42Z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