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&amp;L raw" sheetId="2" state="visible" r:id="rId4"/>
    <sheet name="Evidence (Slack &amp; notes)" sheetId="3" state="visible" r:id="rId5"/>
    <sheet name="Conflic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Excluded in 'likely' only. Booked figure keeps it, because it is in the ledger. Resolve with the Amplitude invoice.</t>
        </r>
      </text>
    </comment>
    <comment ref="B12" authorId="0">
      <text>
        <r>
          <rPr>
            <sz val="10"/>
            <rFont val="Arial"/>
            <family val="2"/>
          </rPr>
          <t xml:space="preserve">Hardcoded input — source: slack_export.md L119; meeting_notes/finance_review_2026-05-28.md L23.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1" authorId="0">
      <text>
        <r>
          <rPr>
            <sz val="10"/>
            <rFont val="Arial"/>
            <family val="2"/>
          </rPr>
          <t xml:space="preserve">Salesforce: Q1 posted $12,000 (= $48k/yr run-rate). Renewal at $60,000/yr closed 2026-05-14 (slack_export.md L119; finance_review_2026-05-28.md L23) → $15,000/qtr from Q2. Finance note L23 says posted figure 'looks higher than a $60k annual would imply' — arithmetic says LOWER ($12,000 &lt; $15,000). Renewal post-dates Q1, so Q1 stays $12,000. See Conflicts C2, C3.</t>
        </r>
      </text>
    </comment>
    <comment ref="D14" authorId="0">
      <text>
        <r>
          <rPr>
            <sz val="10"/>
            <rFont val="Arial"/>
            <family val="2"/>
          </rPr>
          <t xml:space="preserve">Amplitude appears twice (this row + L13), identical amount and description. Maya: '90% sure that's the same product entered twice' (slack_export.md L147). Priya: 'smells like a double-count' (L150). Invoice not back (L153). Kept in booked total; excluded in 'likely'. See Conflict C1.</t>
        </r>
      </text>
    </comment>
    <comment ref="D15" authorId="0">
      <text>
        <r>
          <rPr>
            <sz val="10"/>
            <rFont val="Arial"/>
            <family val="2"/>
          </rPr>
          <t xml:space="preserve">Second Amplitude line — suspected duplicate of L12 (slack_export.md L147, L150, L153). Unconfirmed: invoice not in bundle. This is the $7,500 between booked ($81,000) and likely ($73,500).</t>
        </r>
      </text>
    </comment>
    <comment ref="D26" authorId="0">
      <text>
        <r>
          <rPr>
            <sz val="10"/>
            <rFont val="Arial"/>
            <family val="2"/>
          </rPr>
          <t xml:space="preserve">Listed subtotal $81,000. Re-added L9–L23 = $81,000 → ties. Matches CFO 'subtotal as listed is $81k' (slack_export.md L144). Includes the suspected Amplitude duplicate.</t>
        </r>
      </text>
    </comment>
    <comment ref="D27" authorId="0">
      <text>
        <r>
          <rPr>
            <sz val="10"/>
            <rFont val="Arial"/>
            <family val="2"/>
          </rPr>
          <t xml:space="preserve">AWS is Infrastructure, not SaaS — CFO: 'don't let anyone fold them together' (slack_export.md L144).</t>
        </r>
      </text>
    </comment>
    <comment ref="D28" authorId="0">
      <text>
        <r>
          <rPr>
            <sz val="10"/>
            <rFont val="Arial"/>
            <family val="2"/>
          </rPr>
          <t xml:space="preserve">Raw value is text '€1900' — EUR, not USD, and not numeric. P&amp;L note says normalize before totaling. Infrastructure, so excluded from SaaS either way. See Conflict C4.</t>
        </r>
      </text>
    </comment>
    <comment ref="D29" authorId="0">
      <text>
        <r>
          <rPr>
            <sz val="10"/>
            <rFont val="Arial"/>
            <family val="2"/>
          </rPr>
          <t xml:space="preserve">Infrastructure subtotal is blank — 'pending FX normalization of EUR line'. Not SaaS.</t>
        </r>
      </text>
    </comment>
    <comment ref="D37" authorId="0">
      <text>
        <r>
          <rPr>
            <sz val="10"/>
            <rFont val="Arial"/>
            <family val="2"/>
          </rPr>
          <t xml:space="preserve">Office supplies blank — 'pending AP coding'. Not SaaS; shows P&amp;L is not fully closed.</t>
        </r>
      </text>
    </comment>
  </commentList>
</comments>
</file>

<file path=xl/sharedStrings.xml><?xml version="1.0" encoding="utf-8"?>
<sst xmlns="http://schemas.openxmlformats.org/spreadsheetml/2006/main" count="362" uniqueCount="239">
  <si>
    <t xml:space="preserve">Q1 2026 SaaS spend — Northwind Media</t>
  </si>
  <si>
    <t xml:space="preserve">All figures are live formulas on the 'P&amp;L raw' tab. Blue = typed input (with source). Red rows on 'P&amp;L raw' = conflicting sources; see 'Conflicts'.</t>
  </si>
  <si>
    <t xml:space="preserve">Booked SaaS spend (sum of 15 line items)</t>
  </si>
  <si>
    <t xml:space="preserve">pnl_q1_2026.csv L9–L23. Recomputed from raw rows.</t>
  </si>
  <si>
    <t xml:space="preserve">Listed subtotal in P&amp;L</t>
  </si>
  <si>
    <t xml:space="preserve">pnl_q1_2026.csv L24 'As-listed sum of SaaS line items'.</t>
  </si>
  <si>
    <t xml:space="preserve">Tie-out (booked − listed)</t>
  </si>
  <si>
    <t xml:space="preserve">0 = subtotal is internally consistent. CFO also quotes $81k (slack_export.md L144).</t>
  </si>
  <si>
    <t xml:space="preserve">Suspected duplicate: 2nd Amplitude line</t>
  </si>
  <si>
    <t xml:space="preserve">pnl_q1_2026.csv L13 vs L12 — same amount &amp; description. Flagged by Maya (slack L147) and Priya (L150); invoice not received (L153). Conflict C1.</t>
  </si>
  <si>
    <t xml:space="preserve">Likely true SaaS spend (booked − duplicate)</t>
  </si>
  <si>
    <t xml:space="preserve">Medium confidence until the Amplitude invoice is checked.</t>
  </si>
  <si>
    <t xml:space="preserve">Salesforce check (Conflicts C2, C3)</t>
  </si>
  <si>
    <t xml:space="preserve">Salesforce posted, Q1</t>
  </si>
  <si>
    <t xml:space="preserve">pnl_q1_2026.csv L9.</t>
  </si>
  <si>
    <t xml:space="preserve">Salesforce renewed contract, per year</t>
  </si>
  <si>
    <t xml:space="preserve">Input. Source: slack_export.md L119 (Priya, 2026-05-14) and finance_review_2026-05-28.md L23 — '$60k for the year'.</t>
  </si>
  <si>
    <t xml:space="preserve">Implied per quarter under new contract</t>
  </si>
  <si>
    <t xml:space="preserve">Applies from renewal (2026-05-14, i.e. Q2) — not to Q1.</t>
  </si>
  <si>
    <t xml:space="preserve">Posted Q1 vs new quarterly rate</t>
  </si>
  <si>
    <t xml:space="preserve">Negative = posting is LOWER than the new rate. Contradicts finance note L23 ('looks higher'). Q2+ run-rate rises by this amount.</t>
  </si>
  <si>
    <t xml:space="preserve">Answer</t>
  </si>
  <si>
    <t xml:space="preserve">Scope &amp; caveats</t>
  </si>
  <si>
    <t xml:space="preserve">Scope: Q1 2026 (Jan–Mar), category 'Software &amp; SaaS' only. AWS and Cloudflare are Infrastructure (CFO, slack L144).</t>
  </si>
  <si>
    <t xml:space="preserve">Not verifiable from the bundle: vendor invoices; SaaS paid on cards/expenses (would push spend ABOVE booked); whether any SaaS line is EUR (finance_review L25); whether the P&amp;L is final (notes marked 'pre-close').</t>
  </si>
  <si>
    <t xml:space="preserve">Colour key on 'P&amp;L raw': red = conflicting sources · amber = data quality / out of scope · grey = section or subtotal row.</t>
  </si>
  <si>
    <t xml:space="preserve">Raw export: pnl_q1_2026.csv — every row as delivered (values unchanged; € and blanks kept as-is).</t>
  </si>
  <si>
    <t xml:space="preserve">Source line</t>
  </si>
  <si>
    <t xml:space="preserve">Category</t>
  </si>
  <si>
    <t xml:space="preserve">Line Item</t>
  </si>
  <si>
    <t xml:space="preserve">Q1_2026_USD (raw)</t>
  </si>
  <si>
    <t xml:space="preserve">Notes (raw)</t>
  </si>
  <si>
    <t xml:space="preserve">Row type</t>
  </si>
  <si>
    <t xml:space="preserve">In SaaS scope?</t>
  </si>
  <si>
    <t xml:space="preserve">Flag</t>
  </si>
  <si>
    <t xml:space="preserve">Commentary &amp; references</t>
  </si>
  <si>
    <t xml:space="preserve">Q1_2026_USD</t>
  </si>
  <si>
    <t xml:space="preserve">Notes</t>
  </si>
  <si>
    <t xml:space="preserve">header</t>
  </si>
  <si>
    <t xml:space="preserve">Revenue</t>
  </si>
  <si>
    <t xml:space="preserve">Brand partnerships</t>
  </si>
  <si>
    <t xml:space="preserve">Net of agency commissions</t>
  </si>
  <si>
    <t xml:space="preserve">line item</t>
  </si>
  <si>
    <t xml:space="preserve">No</t>
  </si>
  <si>
    <t xml:space="preserve">Creator subscriptions</t>
  </si>
  <si>
    <t xml:space="preserve">Subscription/membership revenue</t>
  </si>
  <si>
    <t xml:space="preserve">Other</t>
  </si>
  <si>
    <t xml:space="preserve">Licensing + one-off</t>
  </si>
  <si>
    <t xml:space="preserve">Total Revenue</t>
  </si>
  <si>
    <t xml:space="preserve">Sum of revenue lines</t>
  </si>
  <si>
    <t xml:space="preserve">subtotal</t>
  </si>
  <si>
    <t xml:space="preserve">Operating Expenses</t>
  </si>
  <si>
    <t xml:space="preserve">section</t>
  </si>
  <si>
    <t xml:space="preserve">Personnel</t>
  </si>
  <si>
    <t xml:space="preserve">Salaries &amp; benefits (all teams)</t>
  </si>
  <si>
    <t xml:space="preserve">~300 FTE; loaded cost; see headcount_roster.csv</t>
  </si>
  <si>
    <t xml:space="preserve">Contractor / freelance production</t>
  </si>
  <si>
    <t xml:space="preserve">Variable production crews</t>
  </si>
  <si>
    <t xml:space="preserve">Software &amp; SaaS</t>
  </si>
  <si>
    <t xml:space="preserve">Salesforce</t>
  </si>
  <si>
    <t xml:space="preserve">CRM; renewal discussion in #finance — see note</t>
  </si>
  <si>
    <t xml:space="preserve">Yes</t>
  </si>
  <si>
    <t xml:space="preserve">CONFLICT</t>
  </si>
  <si>
    <t xml:space="preserve">Salesforce: Q1 posted $12,000 (= $48k/yr run-rate). Renewal at $60,000/yr closed 2026-05-14 (slack_export.md L119; finance_review_2026-05-28.md L23) → $15,000/qtr from Q2. Finance note L23 says posted figure 'looks higher than a $60k annual would imply' — arithmetic says LOWER ($12,000 &lt; $15,000). Renewal post-dates Q1, so Q1 stays $12,000. See Conflicts C2, C3.</t>
  </si>
  <si>
    <t xml:space="preserve">HubSpot</t>
  </si>
  <si>
    <t xml:space="preserve">Marketing automation</t>
  </si>
  <si>
    <t xml:space="preserve">Looker</t>
  </si>
  <si>
    <t xml:space="preserve">BI / dashboards</t>
  </si>
  <si>
    <t xml:space="preserve">Amplitude</t>
  </si>
  <si>
    <t xml:space="preserve">Product analytics</t>
  </si>
  <si>
    <t xml:space="preserve">Amplitude appears twice (this row + L13), identical amount and description. Maya: '90% sure that's the same product entered twice' (slack_export.md L147). Priya: 'smells like a double-count' (L150). Invoice not back (L153). Kept in booked total; excluded in 'likely'. See Conflict C1.</t>
  </si>
  <si>
    <t xml:space="preserve">Amplitude Analytics</t>
  </si>
  <si>
    <t xml:space="preserve">Second Amplitude line — suspected duplicate of L12 (slack_export.md L147, L150, L153). Unconfirmed: invoice not in bundle. This is the $7,500 between booked ($81,000) and likely ($73,500).</t>
  </si>
  <si>
    <t xml:space="preserve">Figma</t>
  </si>
  <si>
    <t xml:space="preserve">Design</t>
  </si>
  <si>
    <t xml:space="preserve">Adobe Creative Cloud</t>
  </si>
  <si>
    <t xml:space="preserve">Editing / creative suite</t>
  </si>
  <si>
    <t xml:space="preserve">Notion</t>
  </si>
  <si>
    <t xml:space="preserve">Docs / wiki</t>
  </si>
  <si>
    <t xml:space="preserve">Slack</t>
  </si>
  <si>
    <t xml:space="preserve">Internal comms</t>
  </si>
  <si>
    <t xml:space="preserve">Google Workspace</t>
  </si>
  <si>
    <t xml:space="preserve">Email / docs / storage</t>
  </si>
  <si>
    <t xml:space="preserve">Zoom</t>
  </si>
  <si>
    <t xml:space="preserve">Video calls</t>
  </si>
  <si>
    <t xml:space="preserve">GitHub</t>
  </si>
  <si>
    <t xml:space="preserve">Source control</t>
  </si>
  <si>
    <t xml:space="preserve">Sentry</t>
  </si>
  <si>
    <t xml:space="preserve">Error monitoring</t>
  </si>
  <si>
    <t xml:space="preserve">Greenhouse</t>
  </si>
  <si>
    <t xml:space="preserve">ATS / recruiting</t>
  </si>
  <si>
    <t xml:space="preserve">Airtable</t>
  </si>
  <si>
    <t xml:space="preserve">Ops trackers</t>
  </si>
  <si>
    <t xml:space="preserve">Software &amp; SaaS subtotal</t>
  </si>
  <si>
    <t xml:space="preserve">As-listed sum of SaaS line items</t>
  </si>
  <si>
    <t xml:space="preserve">Subtotal</t>
  </si>
  <si>
    <t xml:space="preserve">CHECK</t>
  </si>
  <si>
    <t xml:space="preserve">Listed subtotal $81,000. Re-added L9–L23 = $81,000 → ties. Matches CFO 'subtotal as listed is $81k' (slack_export.md L144). Includes the suspected Amplitude duplicate.</t>
  </si>
  <si>
    <t xml:space="preserve">Infrastructure</t>
  </si>
  <si>
    <t xml:space="preserve">AWS</t>
  </si>
  <si>
    <t xml:space="preserve">Cloud hosting / compute / storage</t>
  </si>
  <si>
    <t xml:space="preserve">OUT OF SCOPE</t>
  </si>
  <si>
    <t xml:space="preserve">AWS is Infrastructure, not SaaS — CFO: 'don't let anyone fold them together' (slack_export.md L144).</t>
  </si>
  <si>
    <t xml:space="preserve">Cloudflare</t>
  </si>
  <si>
    <t xml:space="preserve">€1900</t>
  </si>
  <si>
    <t xml:space="preserve">CDN + DNS; billed in EUR — normalize before totaling</t>
  </si>
  <si>
    <t xml:space="preserve">DATA QUALITY</t>
  </si>
  <si>
    <t xml:space="preserve">Raw value is text '€1900' — EUR, not USD, and not numeric. P&amp;L note says normalize before totaling. Infrastructure, so excluded from SaaS either way. See Conflict C4.</t>
  </si>
  <si>
    <t xml:space="preserve">Infrastructure subtotal</t>
  </si>
  <si>
    <t xml:space="preserve">Subtotal pending FX normalization of EUR line</t>
  </si>
  <si>
    <t xml:space="preserve">Infrastructure subtotal is blank — 'pending FX normalization of EUR line'. Not SaaS.</t>
  </si>
  <si>
    <t xml:space="preserve">Marketing</t>
  </si>
  <si>
    <t xml:space="preserve">Paid media</t>
  </si>
  <si>
    <t xml:space="preserve">Performance + brand</t>
  </si>
  <si>
    <t xml:space="preserve">Events &amp; sponsorships</t>
  </si>
  <si>
    <t xml:space="preserve">Facilities</t>
  </si>
  <si>
    <t xml:space="preserve">Office &amp; utilities</t>
  </si>
  <si>
    <t xml:space="preserve">Two locations</t>
  </si>
  <si>
    <t xml:space="preserve">Travel &amp; entertainment</t>
  </si>
  <si>
    <t xml:space="preserve">G&amp;A</t>
  </si>
  <si>
    <t xml:space="preserve">Legal &amp; professional fees</t>
  </si>
  <si>
    <t xml:space="preserve">Insurance</t>
  </si>
  <si>
    <t xml:space="preserve">Bank &amp; payment processing fees</t>
  </si>
  <si>
    <t xml:space="preserve">Creator payouts processing</t>
  </si>
  <si>
    <t xml:space="preserve">Office supplies</t>
  </si>
  <si>
    <t xml:space="preserve">Blank — pending AP coding</t>
  </si>
  <si>
    <t xml:space="preserve">Office supplies blank — 'pending AP coding'. Not SaaS; shows P&amp;L is not fully closed.</t>
  </si>
  <si>
    <t xml:space="preserve">Every Slack / meeting-note line that bears on SaaS spend — text quoted as written, with exact file and line.</t>
  </si>
  <si>
    <t xml:space="preserve">File</t>
  </si>
  <si>
    <t xml:space="preserve">Line</t>
  </si>
  <si>
    <t xml:space="preserve">Who</t>
  </si>
  <si>
    <t xml:space="preserve">When</t>
  </si>
  <si>
    <t xml:space="preserve">Raw text</t>
  </si>
  <si>
    <t xml:space="preserve">What it says</t>
  </si>
  <si>
    <t xml:space="preserve">Relates to / conflicts with</t>
  </si>
  <si>
    <t xml:space="preserve">slack_export.md</t>
  </si>
  <si>
    <t xml:space="preserve">Marcus Lindqvist</t>
  </si>
  <si>
    <t xml:space="preserve">2026-05-12 10:08</t>
  </si>
  <si>
    <t xml:space="preserve">Board went fine. They pushed on the sales miss and on cost discipline. Action item: every VP sanity-check your line items in the Q1 P&amp;L before we publish the final cut. Priya owns the master.</t>
  </si>
  <si>
    <t xml:space="preserve">VPs asked to sanity-check P&amp;L line items; Priya owns the master.</t>
  </si>
  <si>
    <t xml:space="preserve">Priya Raman</t>
  </si>
  <si>
    <t xml:space="preserve">2026-05-12 10:15</t>
  </si>
  <si>
    <t xml:space="preserve">On it. I'll circulate the Software &amp; SaaS breakdown separately — there are a couple of line items I want a second set of eyes on.</t>
  </si>
  <si>
    <t xml:space="preserve">CFO wants a second set of eyes on a couple of SaaS line items.</t>
  </si>
  <si>
    <t xml:space="preserve">Signals known issues in SaaS lines</t>
  </si>
  <si>
    <t xml:space="preserve">Raj Patel</t>
  </si>
  <si>
    <t xml:space="preserve">2026-05-12 10:31</t>
  </si>
  <si>
    <t xml:space="preserve">Eng tools should be fine — GitHub, Sentry, the usual. Nothing changed in Q1.</t>
  </si>
  <si>
    <t xml:space="preserve">Eng tools (GitHub, Sentry) unchanged in Q1.</t>
  </si>
  <si>
    <t xml:space="preserve">Consistent with P&amp;L L20–L21</t>
  </si>
  <si>
    <t xml:space="preserve">2026-05-14 11:02</t>
  </si>
  <si>
    <t xml:space="preserve">Good news — closed the Salesforce renewal. $60k for the year, locked. Tomás, your team's CRM is sorted through next May.</t>
  </si>
  <si>
    <t xml:space="preserve">Salesforce renewal closed: $60k for the year.</t>
  </si>
  <si>
    <t xml:space="preserve">P&amp;L L9 ($12,000/qtr) — C2</t>
  </si>
  <si>
    <t xml:space="preserve">Maya Fortin</t>
  </si>
  <si>
    <t xml:space="preserve">2026-05-14 11:15</t>
  </si>
  <si>
    <t xml:space="preserve">Noting it for the SaaS tracker. 👍</t>
  </si>
  <si>
    <t xml:space="preserve">Maya noting renewal for the SaaS tracker.</t>
  </si>
  <si>
    <t xml:space="preserve">SaaS tracker itself not in bundle</t>
  </si>
  <si>
    <t xml:space="preserve">2026-06-02 10:30</t>
  </si>
  <si>
    <t xml:space="preserve">Software &amp; SaaS line is finalized for Q1, subtotal as listed is $81k for the quarter. Note AWS infra (~$38k) sits under Infrastructure, not here — don't let anyone fold them together.</t>
  </si>
  <si>
    <t xml:space="preserve">CFO: SaaS finalized at $81k; AWS (~$38k) is Infrastructure, not SaaS.</t>
  </si>
  <si>
    <t xml:space="preserve">P&amp;L L24 (ties); scope rule for L25–L26</t>
  </si>
  <si>
    <t xml:space="preserve">2026-06-02 10:38</t>
  </si>
  <si>
    <t xml:space="preserve">One thing on the SaaS tab — we've got both an "Amplitude" line and an "Amplitude Analytics" line, each at $7.5k. I'm 90% sure that's the same product entered twice but I haven't confirmed against the invoice. Leaving both in for now and flagging it.</t>
  </si>
  <si>
    <t xml:space="preserve">Maya: Amplitude + Amplitude Analytics, each $7.5k — likely same product twice.</t>
  </si>
  <si>
    <t xml:space="preserve">P&amp;L L12–L13 — C1</t>
  </si>
  <si>
    <t xml:space="preserve">2026-06-02 10:45</t>
  </si>
  <si>
    <t xml:space="preserve">Yeah that smells like a double-count. Pull the Amplitude invoice when you get a sec and we'll fix it if it's one contract.</t>
  </si>
  <si>
    <t xml:space="preserve">Priya: 'smells like a double-count'; pull invoice.</t>
  </si>
  <si>
    <t xml:space="preserve">2026-06-02 10:47</t>
  </si>
  <si>
    <t xml:space="preserve">Added to my list. Haven't gotten the invoice back yet so I'm leaving the CSV as-is until I can confirm.</t>
  </si>
  <si>
    <t xml:space="preserve">Maya: invoice not back; leaving CSV as-is.</t>
  </si>
  <si>
    <t xml:space="preserve">C1 unresolved at end of bundle</t>
  </si>
  <si>
    <t xml:space="preserve">meeting_notes/finance_review_2026-05-28.md</t>
  </si>
  <si>
    <t xml:space="preserve">2026-05-28</t>
  </si>
  <si>
    <t xml:space="preserve">- **Salesforce renewal closed** — locked at **$60k for the year**. Priya confirmed signed. Maya to make sure the SaaS line picks this up cleanly (the current quarterly P&amp;L figure looks higher than a $60k annual would imply — Maya to check the invoice/contract against what's posted before we call it reconciled).</t>
  </si>
  <si>
    <t xml:space="preserve">Salesforce $60k/yr; claims posted Q figure looks higher than $60k/yr implies.</t>
  </si>
  <si>
    <t xml:space="preserve">Arithmetic contradicts it — C3</t>
  </si>
  <si>
    <t xml:space="preserve">- HubSpot, Looker, Amplitude renewals all auto-renew dates inside the next two quarters — Maya to pull a vendor calendar so we stop getting surprised.</t>
  </si>
  <si>
    <t xml:space="preserve">HubSpot, Looker, Amplitude auto-renew within two quarters.</t>
  </si>
  <si>
    <t xml:space="preserve">Context; no amounts</t>
  </si>
  <si>
    <t xml:space="preserve">- General reminder: a couple of EU-billed tools come through in EUR; normalize to USD at month-end FX before they hit the SaaS subtotal.</t>
  </si>
  <si>
    <t xml:space="preserve">EU-billed tools come in EUR; normalize before SaaS subtotal.</t>
  </si>
  <si>
    <t xml:space="preserve">No SaaS line is marked EUR — C4</t>
  </si>
  <si>
    <t xml:space="preserve">*Internal finance note. Figures illustrative / pre-close.*</t>
  </si>
  <si>
    <t xml:space="preserve">Footer: 'Figures illustrative / pre-close'.</t>
  </si>
  <si>
    <t xml:space="preserve">Lowers weight of this note</t>
  </si>
  <si>
    <t xml:space="preserve">meeting_notes/data_review_2026-05-20.md</t>
  </si>
  <si>
    <t xml:space="preserve">Ben Okoro</t>
  </si>
  <si>
    <t xml:space="preserve">2026-05-20</t>
  </si>
  <si>
    <t xml:space="preserve">- **Amplitude event hygiene** — duplicate `post_published` events from the mobile client were inflating the cadence number by ~2–3% in April; fix shipped, numbers above are post-fix.</t>
  </si>
  <si>
    <t xml:space="preserve">Amplitude *event* duplicates (post_published) fixed.</t>
  </si>
  <si>
    <t xml:space="preserve">NOT the billing duplicate — different issue, don't conflate</t>
  </si>
  <si>
    <t xml:space="preserve">Where sources disagree — what each says, how it was resolved, and what it does to the number.</t>
  </si>
  <si>
    <t xml:space="preserve">ID</t>
  </si>
  <si>
    <t xml:space="preserve">Issue</t>
  </si>
  <si>
    <t xml:space="preserve">Source A</t>
  </si>
  <si>
    <t xml:space="preserve">Source B</t>
  </si>
  <si>
    <t xml:space="preserve">Resolution</t>
  </si>
  <si>
    <t xml:space="preserve">Effect on Q1 SaaS</t>
  </si>
  <si>
    <t xml:space="preserve">Confidence</t>
  </si>
  <si>
    <t xml:space="preserve">Unblocker</t>
  </si>
  <si>
    <t xml:space="preserve">C1</t>
  </si>
  <si>
    <t xml:space="preserve">Amplitude listed twice ($7,500 each)</t>
  </si>
  <si>
    <t xml:space="preserve">pnl_q1_2026.csv L12, L13</t>
  </si>
  <si>
    <t xml:space="preserve">slack_export.md L147, L150, L153</t>
  </si>
  <si>
    <t xml:space="preserve">Unresolved — invoice not received by end of bundle</t>
  </si>
  <si>
    <t xml:space="preserve">Booked $81,000 vs likely $73,500 (−$7,500)</t>
  </si>
  <si>
    <t xml:space="preserve">Medium</t>
  </si>
  <si>
    <t xml:space="preserve">Pull Amplitude invoice/contract (owner: Maya)</t>
  </si>
  <si>
    <t xml:space="preserve">C2</t>
  </si>
  <si>
    <t xml:space="preserve">Salesforce Q1 posting vs renewed contract</t>
  </si>
  <si>
    <t xml:space="preserve">pnl_q1_2026.csv L9 ($12,000)</t>
  </si>
  <si>
    <t xml:space="preserve">slack_export.md L119; finance_review L23 ($60k/yr = $15,000/qtr)</t>
  </si>
  <si>
    <t xml:space="preserve">Renewal closed 2026-05-14 (after Q1). Q1 posting stands</t>
  </si>
  <si>
    <t xml:space="preserve">None for Q1; +$3,000/qtr run-rate from Q2</t>
  </si>
  <si>
    <t xml:space="preserve">High</t>
  </si>
  <si>
    <t xml:space="preserve">Confirm Q2 posting = $15,000</t>
  </si>
  <si>
    <t xml:space="preserve">C3</t>
  </si>
  <si>
    <t xml:space="preserve">Finance note says Salesforce posting looks too HIGH</t>
  </si>
  <si>
    <t xml:space="preserve">finance_review_2026-05-28.md L23</t>
  </si>
  <si>
    <t xml:space="preserve">Arithmetic: $12,000 &lt; $15,000</t>
  </si>
  <si>
    <t xml:space="preserve">Note is internally inconsistent; not relied on</t>
  </si>
  <si>
    <t xml:space="preserve">None</t>
  </si>
  <si>
    <t xml:space="preserve">Ask Maya what she compared against</t>
  </si>
  <si>
    <t xml:space="preserve">C4</t>
  </si>
  <si>
    <t xml:space="preserve">EUR-billed tools must be normalized — but no SaaS line is in EUR</t>
  </si>
  <si>
    <t xml:space="preserve">finance_review_2026-05-28.md L25</t>
  </si>
  <si>
    <t xml:space="preserve">pnl_q1_2026.csv L9–L23 (all plain numbers); only EUR line is Cloudflare L26 (Infrastructure)</t>
  </si>
  <si>
    <t xml:space="preserve">Assume SaaS lines already USD</t>
  </si>
  <si>
    <t xml:space="preserve">Unknown; would move total by any FX difference</t>
  </si>
  <si>
    <t xml:space="preserve">Confirm which tools are EU-billed</t>
  </si>
  <si>
    <t xml:space="preserve">C5</t>
  </si>
  <si>
    <t xml:space="preserve">SaaS scope: AWS / Cloudflare</t>
  </si>
  <si>
    <t xml:space="preserve">pnl_q1_2026.csv L25–L27 (Infrastructure)</t>
  </si>
  <si>
    <t xml:space="preserve">slack_export.md L144 (CFO)</t>
  </si>
  <si>
    <t xml:space="preserve">Excluded from SaaS — sources agree</t>
  </si>
  <si>
    <t xml:space="preserve">—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</si>
</sst>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SUMIFS('P&amp;L raw'!$D$4:$D$37,'P&amp;L raw'!$B$4:$B$37,"Software &amp; SaaS",'P&amp;L raw'!$F$4:$F$37,"line item")</f>
        <v>81000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n">
        <f aca="false">'P&amp;L raw'!D26</f>
        <v>81000</v>
      </c>
      <c r="C5" s="5" t="s">
        <v>5</v>
      </c>
    </row>
    <row r="6" customFormat="false" ht="15" hidden="false" customHeight="false" outlineLevel="0" collapsed="false">
      <c r="A6" s="3" t="s">
        <v>6</v>
      </c>
      <c r="B6" s="4" t="n">
        <f aca="false">B4-B5</f>
        <v>0</v>
      </c>
      <c r="C6" s="5" t="s">
        <v>7</v>
      </c>
    </row>
    <row r="7" customFormat="false" ht="23.85" hidden="false" customHeight="false" outlineLevel="0" collapsed="false">
      <c r="A7" s="3" t="s">
        <v>8</v>
      </c>
      <c r="B7" s="6" t="n">
        <f aca="false">'P&amp;L raw'!D15</f>
        <v>7500</v>
      </c>
      <c r="C7" s="5" t="s">
        <v>9</v>
      </c>
    </row>
    <row r="8" customFormat="false" ht="15" hidden="false" customHeight="false" outlineLevel="0" collapsed="false">
      <c r="A8" s="3" t="s">
        <v>10</v>
      </c>
      <c r="B8" s="7" t="n">
        <f aca="false">B4-B7</f>
        <v>73500</v>
      </c>
      <c r="C8" s="5" t="s">
        <v>11</v>
      </c>
    </row>
    <row r="9" customFormat="false" ht="15" hidden="false" customHeight="false" outlineLevel="0" collapsed="false">
      <c r="A9" s="3"/>
      <c r="C9" s="5"/>
    </row>
    <row r="10" customFormat="false" ht="15" hidden="false" customHeight="false" outlineLevel="0" collapsed="false">
      <c r="A10" s="8" t="s">
        <v>12</v>
      </c>
      <c r="C10" s="5"/>
    </row>
    <row r="11" customFormat="false" ht="15" hidden="false" customHeight="false" outlineLevel="0" collapsed="false">
      <c r="A11" s="3" t="s">
        <v>13</v>
      </c>
      <c r="B11" s="6" t="n">
        <f aca="false">'P&amp;L raw'!D11</f>
        <v>12000</v>
      </c>
      <c r="C11" s="5" t="s">
        <v>14</v>
      </c>
    </row>
    <row r="12" customFormat="false" ht="23.85" hidden="false" customHeight="false" outlineLevel="0" collapsed="false">
      <c r="A12" s="3" t="s">
        <v>15</v>
      </c>
      <c r="B12" s="9" t="n">
        <v>60000</v>
      </c>
      <c r="C12" s="5" t="s">
        <v>16</v>
      </c>
    </row>
    <row r="13" customFormat="false" ht="15" hidden="false" customHeight="false" outlineLevel="0" collapsed="false">
      <c r="A13" s="3" t="s">
        <v>17</v>
      </c>
      <c r="B13" s="4" t="n">
        <f aca="false">B12/4</f>
        <v>15000</v>
      </c>
      <c r="C13" s="5" t="s">
        <v>18</v>
      </c>
    </row>
    <row r="14" customFormat="false" ht="23.85" hidden="false" customHeight="false" outlineLevel="0" collapsed="false">
      <c r="A14" s="3" t="s">
        <v>19</v>
      </c>
      <c r="B14" s="4" t="n">
        <f aca="false">B11-B13</f>
        <v>-3000</v>
      </c>
      <c r="C14" s="5" t="s">
        <v>20</v>
      </c>
    </row>
    <row r="17" customFormat="false" ht="15" hidden="false" customHeight="false" outlineLevel="0" collapsed="false">
      <c r="A17" s="8" t="s">
        <v>21</v>
      </c>
    </row>
    <row r="18" customFormat="false" ht="15" hidden="false" customHeight="false" outlineLevel="0" collapsed="false">
      <c r="A18" s="8" t="str">
        <f aca="false">"Booked "&amp;TEXT(B4,"$#,##0")&amp;"; likely "&amp;TEXT(B8,"$#,##0")&amp;" (range "&amp;TEXT(B8,"$#,##0")&amp;" – "&amp;TEXT(B4,"$#,##0")&amp;"). Gap = suspected Amplitude double-count."</f>
        <v>Booked $81,000; likely $73,500 (range $73,500 – $81,000). Gap = suspected Amplitude double-count.</v>
      </c>
    </row>
    <row r="20" customFormat="false" ht="15" hidden="false" customHeight="false" outlineLevel="0" collapsed="false">
      <c r="A20" s="8" t="s">
        <v>22</v>
      </c>
    </row>
    <row r="21" customFormat="false" ht="30" hidden="false" customHeight="true" outlineLevel="0" collapsed="false">
      <c r="A21" s="10" t="s">
        <v>23</v>
      </c>
      <c r="B21" s="10"/>
      <c r="C21" s="10"/>
    </row>
    <row r="22" customFormat="false" ht="30" hidden="false" customHeight="true" outlineLevel="0" collapsed="false">
      <c r="A22" s="10" t="s">
        <v>24</v>
      </c>
      <c r="B22" s="10"/>
      <c r="C22" s="10"/>
    </row>
    <row r="23" customFormat="false" ht="30" hidden="false" customHeight="true" outlineLevel="0" collapsed="false">
      <c r="A23" s="10" t="s">
        <v>25</v>
      </c>
      <c r="B23" s="10"/>
      <c r="C23" s="10"/>
    </row>
  </sheetData>
  <mergeCells count="3"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5" hidden="false" customHeight="false" outlineLevel="0" collapsed="false">
      <c r="A1" s="8" t="s">
        <v>26</v>
      </c>
    </row>
    <row r="2" customFormat="false" ht="26.85" hidden="false" customHeight="false" outlineLevel="0" collapsed="false">
      <c r="A2" s="11" t="s">
        <v>27</v>
      </c>
      <c r="B2" s="11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1" t="s">
        <v>35</v>
      </c>
    </row>
    <row r="3" customFormat="false" ht="15" hidden="false" customHeight="false" outlineLevel="0" collapsed="false">
      <c r="A3" s="0" t="n">
        <v>1</v>
      </c>
      <c r="B3" s="12" t="s">
        <v>28</v>
      </c>
      <c r="C3" s="12" t="s">
        <v>29</v>
      </c>
      <c r="D3" s="12" t="s">
        <v>36</v>
      </c>
      <c r="E3" s="12" t="s">
        <v>37</v>
      </c>
      <c r="F3" s="13" t="s">
        <v>38</v>
      </c>
    </row>
    <row r="4" customFormat="false" ht="15" hidden="false" customHeight="false" outlineLevel="0" collapsed="false">
      <c r="A4" s="14" t="n">
        <v>2</v>
      </c>
      <c r="B4" s="14" t="s">
        <v>39</v>
      </c>
      <c r="C4" s="14" t="s">
        <v>40</v>
      </c>
      <c r="D4" s="15" t="n">
        <v>4200000</v>
      </c>
      <c r="E4" s="14" t="s">
        <v>41</v>
      </c>
      <c r="F4" s="14" t="s">
        <v>42</v>
      </c>
      <c r="G4" s="14" t="s">
        <v>43</v>
      </c>
    </row>
    <row r="5" customFormat="false" ht="15" hidden="false" customHeight="false" outlineLevel="0" collapsed="false">
      <c r="A5" s="14" t="n">
        <v>3</v>
      </c>
      <c r="B5" s="14" t="s">
        <v>39</v>
      </c>
      <c r="C5" s="14" t="s">
        <v>44</v>
      </c>
      <c r="D5" s="15" t="n">
        <v>900000</v>
      </c>
      <c r="E5" s="14" t="s">
        <v>45</v>
      </c>
      <c r="F5" s="14" t="s">
        <v>42</v>
      </c>
      <c r="G5" s="14" t="s">
        <v>43</v>
      </c>
    </row>
    <row r="6" customFormat="false" ht="15" hidden="false" customHeight="false" outlineLevel="0" collapsed="false">
      <c r="A6" s="14" t="n">
        <v>4</v>
      </c>
      <c r="B6" s="14" t="s">
        <v>39</v>
      </c>
      <c r="C6" s="14" t="s">
        <v>46</v>
      </c>
      <c r="D6" s="15" t="n">
        <v>150000</v>
      </c>
      <c r="E6" s="14" t="s">
        <v>47</v>
      </c>
      <c r="F6" s="14" t="s">
        <v>42</v>
      </c>
      <c r="G6" s="14" t="s">
        <v>43</v>
      </c>
    </row>
    <row r="7" customFormat="false" ht="15" hidden="false" customHeight="false" outlineLevel="0" collapsed="false">
      <c r="A7" s="16" t="n">
        <v>5</v>
      </c>
      <c r="B7" s="16" t="s">
        <v>39</v>
      </c>
      <c r="C7" s="16" t="s">
        <v>48</v>
      </c>
      <c r="D7" s="17" t="n">
        <v>5250000</v>
      </c>
      <c r="E7" s="16" t="s">
        <v>49</v>
      </c>
      <c r="F7" s="16" t="s">
        <v>50</v>
      </c>
      <c r="G7" s="16" t="s">
        <v>43</v>
      </c>
      <c r="H7" s="18"/>
      <c r="I7" s="18"/>
    </row>
    <row r="8" customFormat="false" ht="15" hidden="false" customHeight="false" outlineLevel="0" collapsed="false">
      <c r="A8" s="16" t="n">
        <v>6</v>
      </c>
      <c r="B8" s="16" t="s">
        <v>51</v>
      </c>
      <c r="C8" s="16"/>
      <c r="D8" s="17"/>
      <c r="E8" s="16"/>
      <c r="F8" s="16" t="s">
        <v>52</v>
      </c>
      <c r="G8" s="16" t="s">
        <v>43</v>
      </c>
      <c r="H8" s="18"/>
      <c r="I8" s="18"/>
    </row>
    <row r="9" customFormat="false" ht="23.85" hidden="false" customHeight="false" outlineLevel="0" collapsed="false">
      <c r="A9" s="14" t="n">
        <v>7</v>
      </c>
      <c r="B9" s="14" t="s">
        <v>53</v>
      </c>
      <c r="C9" s="14" t="s">
        <v>54</v>
      </c>
      <c r="D9" s="15" t="n">
        <v>3120000</v>
      </c>
      <c r="E9" s="14" t="s">
        <v>55</v>
      </c>
      <c r="F9" s="14" t="s">
        <v>42</v>
      </c>
      <c r="G9" s="14" t="s">
        <v>43</v>
      </c>
    </row>
    <row r="10" customFormat="false" ht="23.85" hidden="false" customHeight="false" outlineLevel="0" collapsed="false">
      <c r="A10" s="14" t="n">
        <v>8</v>
      </c>
      <c r="B10" s="14" t="s">
        <v>53</v>
      </c>
      <c r="C10" s="14" t="s">
        <v>56</v>
      </c>
      <c r="D10" s="15" t="n">
        <v>410000</v>
      </c>
      <c r="E10" s="14" t="s">
        <v>57</v>
      </c>
      <c r="F10" s="14" t="s">
        <v>42</v>
      </c>
      <c r="G10" s="14" t="s">
        <v>43</v>
      </c>
    </row>
    <row r="11" customFormat="false" ht="46.25" hidden="false" customHeight="false" outlineLevel="0" collapsed="false">
      <c r="A11" s="14" t="n">
        <v>9</v>
      </c>
      <c r="B11" s="14" t="s">
        <v>58</v>
      </c>
      <c r="C11" s="19" t="s">
        <v>59</v>
      </c>
      <c r="D11" s="20" t="n">
        <v>12000</v>
      </c>
      <c r="E11" s="14" t="s">
        <v>60</v>
      </c>
      <c r="F11" s="14" t="s">
        <v>42</v>
      </c>
      <c r="G11" s="14" t="s">
        <v>61</v>
      </c>
      <c r="H11" s="21" t="s">
        <v>62</v>
      </c>
      <c r="I11" s="5" t="s">
        <v>63</v>
      </c>
    </row>
    <row r="12" customFormat="false" ht="15" hidden="false" customHeight="false" outlineLevel="0" collapsed="false">
      <c r="A12" s="14" t="n">
        <v>10</v>
      </c>
      <c r="B12" s="14" t="s">
        <v>58</v>
      </c>
      <c r="C12" s="14" t="s">
        <v>64</v>
      </c>
      <c r="D12" s="15" t="n">
        <v>9000</v>
      </c>
      <c r="E12" s="14" t="s">
        <v>65</v>
      </c>
      <c r="F12" s="14" t="s">
        <v>42</v>
      </c>
      <c r="G12" s="14" t="s">
        <v>61</v>
      </c>
    </row>
    <row r="13" customFormat="false" ht="15" hidden="false" customHeight="false" outlineLevel="0" collapsed="false">
      <c r="A13" s="14" t="n">
        <v>11</v>
      </c>
      <c r="B13" s="14" t="s">
        <v>58</v>
      </c>
      <c r="C13" s="14" t="s">
        <v>66</v>
      </c>
      <c r="D13" s="15" t="n">
        <v>11000</v>
      </c>
      <c r="E13" s="14" t="s">
        <v>67</v>
      </c>
      <c r="F13" s="14" t="s">
        <v>42</v>
      </c>
      <c r="G13" s="14" t="s">
        <v>61</v>
      </c>
    </row>
    <row r="14" customFormat="false" ht="35.05" hidden="false" customHeight="false" outlineLevel="0" collapsed="false">
      <c r="A14" s="14" t="n">
        <v>12</v>
      </c>
      <c r="B14" s="14" t="s">
        <v>58</v>
      </c>
      <c r="C14" s="19" t="s">
        <v>68</v>
      </c>
      <c r="D14" s="20" t="n">
        <v>7500</v>
      </c>
      <c r="E14" s="14" t="s">
        <v>69</v>
      </c>
      <c r="F14" s="14" t="s">
        <v>42</v>
      </c>
      <c r="G14" s="14" t="s">
        <v>61</v>
      </c>
      <c r="H14" s="21" t="s">
        <v>62</v>
      </c>
      <c r="I14" s="5" t="s">
        <v>70</v>
      </c>
    </row>
    <row r="15" customFormat="false" ht="23.85" hidden="false" customHeight="false" outlineLevel="0" collapsed="false">
      <c r="A15" s="14" t="n">
        <v>13</v>
      </c>
      <c r="B15" s="14" t="s">
        <v>58</v>
      </c>
      <c r="C15" s="19" t="s">
        <v>71</v>
      </c>
      <c r="D15" s="20" t="n">
        <v>7500</v>
      </c>
      <c r="E15" s="14" t="s">
        <v>69</v>
      </c>
      <c r="F15" s="14" t="s">
        <v>42</v>
      </c>
      <c r="G15" s="14" t="s">
        <v>61</v>
      </c>
      <c r="H15" s="21" t="s">
        <v>62</v>
      </c>
      <c r="I15" s="5" t="s">
        <v>72</v>
      </c>
    </row>
    <row r="16" customFormat="false" ht="15" hidden="false" customHeight="false" outlineLevel="0" collapsed="false">
      <c r="A16" s="14" t="n">
        <v>14</v>
      </c>
      <c r="B16" s="14" t="s">
        <v>58</v>
      </c>
      <c r="C16" s="14" t="s">
        <v>73</v>
      </c>
      <c r="D16" s="15" t="n">
        <v>3600</v>
      </c>
      <c r="E16" s="14" t="s">
        <v>74</v>
      </c>
      <c r="F16" s="14" t="s">
        <v>42</v>
      </c>
      <c r="G16" s="14" t="s">
        <v>61</v>
      </c>
    </row>
    <row r="17" customFormat="false" ht="15" hidden="false" customHeight="false" outlineLevel="0" collapsed="false">
      <c r="A17" s="14" t="n">
        <v>15</v>
      </c>
      <c r="B17" s="14" t="s">
        <v>58</v>
      </c>
      <c r="C17" s="14" t="s">
        <v>75</v>
      </c>
      <c r="D17" s="15" t="n">
        <v>5400</v>
      </c>
      <c r="E17" s="14" t="s">
        <v>76</v>
      </c>
      <c r="F17" s="14" t="s">
        <v>42</v>
      </c>
      <c r="G17" s="14" t="s">
        <v>61</v>
      </c>
    </row>
    <row r="18" customFormat="false" ht="15" hidden="false" customHeight="false" outlineLevel="0" collapsed="false">
      <c r="A18" s="14" t="n">
        <v>16</v>
      </c>
      <c r="B18" s="14" t="s">
        <v>58</v>
      </c>
      <c r="C18" s="14" t="s">
        <v>77</v>
      </c>
      <c r="D18" s="15" t="n">
        <v>2400</v>
      </c>
      <c r="E18" s="14" t="s">
        <v>78</v>
      </c>
      <c r="F18" s="14" t="s">
        <v>42</v>
      </c>
      <c r="G18" s="14" t="s">
        <v>61</v>
      </c>
    </row>
    <row r="19" customFormat="false" ht="15" hidden="false" customHeight="false" outlineLevel="0" collapsed="false">
      <c r="A19" s="14" t="n">
        <v>17</v>
      </c>
      <c r="B19" s="14" t="s">
        <v>58</v>
      </c>
      <c r="C19" s="14" t="s">
        <v>79</v>
      </c>
      <c r="D19" s="15" t="n">
        <v>4200</v>
      </c>
      <c r="E19" s="14" t="s">
        <v>80</v>
      </c>
      <c r="F19" s="14" t="s">
        <v>42</v>
      </c>
      <c r="G19" s="14" t="s">
        <v>61</v>
      </c>
    </row>
    <row r="20" customFormat="false" ht="15" hidden="false" customHeight="false" outlineLevel="0" collapsed="false">
      <c r="A20" s="14" t="n">
        <v>18</v>
      </c>
      <c r="B20" s="14" t="s">
        <v>58</v>
      </c>
      <c r="C20" s="14" t="s">
        <v>81</v>
      </c>
      <c r="D20" s="15" t="n">
        <v>6000</v>
      </c>
      <c r="E20" s="14" t="s">
        <v>82</v>
      </c>
      <c r="F20" s="14" t="s">
        <v>42</v>
      </c>
      <c r="G20" s="14" t="s">
        <v>61</v>
      </c>
    </row>
    <row r="21" customFormat="false" ht="15" hidden="false" customHeight="false" outlineLevel="0" collapsed="false">
      <c r="A21" s="14" t="n">
        <v>19</v>
      </c>
      <c r="B21" s="14" t="s">
        <v>58</v>
      </c>
      <c r="C21" s="14" t="s">
        <v>83</v>
      </c>
      <c r="D21" s="15" t="n">
        <v>1800</v>
      </c>
      <c r="E21" s="14" t="s">
        <v>84</v>
      </c>
      <c r="F21" s="14" t="s">
        <v>42</v>
      </c>
      <c r="G21" s="14" t="s">
        <v>61</v>
      </c>
    </row>
    <row r="22" customFormat="false" ht="15" hidden="false" customHeight="false" outlineLevel="0" collapsed="false">
      <c r="A22" s="14" t="n">
        <v>20</v>
      </c>
      <c r="B22" s="14" t="s">
        <v>58</v>
      </c>
      <c r="C22" s="14" t="s">
        <v>85</v>
      </c>
      <c r="D22" s="15" t="n">
        <v>3000</v>
      </c>
      <c r="E22" s="14" t="s">
        <v>86</v>
      </c>
      <c r="F22" s="14" t="s">
        <v>42</v>
      </c>
      <c r="G22" s="14" t="s">
        <v>61</v>
      </c>
    </row>
    <row r="23" customFormat="false" ht="15" hidden="false" customHeight="false" outlineLevel="0" collapsed="false">
      <c r="A23" s="14" t="n">
        <v>21</v>
      </c>
      <c r="B23" s="14" t="s">
        <v>58</v>
      </c>
      <c r="C23" s="14" t="s">
        <v>87</v>
      </c>
      <c r="D23" s="15" t="n">
        <v>1500</v>
      </c>
      <c r="E23" s="14" t="s">
        <v>88</v>
      </c>
      <c r="F23" s="14" t="s">
        <v>42</v>
      </c>
      <c r="G23" s="14" t="s">
        <v>61</v>
      </c>
    </row>
    <row r="24" customFormat="false" ht="15" hidden="false" customHeight="false" outlineLevel="0" collapsed="false">
      <c r="A24" s="14" t="n">
        <v>22</v>
      </c>
      <c r="B24" s="14" t="s">
        <v>58</v>
      </c>
      <c r="C24" s="14" t="s">
        <v>89</v>
      </c>
      <c r="D24" s="15" t="n">
        <v>4000</v>
      </c>
      <c r="E24" s="14" t="s">
        <v>90</v>
      </c>
      <c r="F24" s="14" t="s">
        <v>42</v>
      </c>
      <c r="G24" s="14" t="s">
        <v>61</v>
      </c>
    </row>
    <row r="25" customFormat="false" ht="15" hidden="false" customHeight="false" outlineLevel="0" collapsed="false">
      <c r="A25" s="14" t="n">
        <v>23</v>
      </c>
      <c r="B25" s="14" t="s">
        <v>58</v>
      </c>
      <c r="C25" s="14" t="s">
        <v>91</v>
      </c>
      <c r="D25" s="15" t="n">
        <v>2100</v>
      </c>
      <c r="E25" s="14" t="s">
        <v>92</v>
      </c>
      <c r="F25" s="14" t="s">
        <v>42</v>
      </c>
      <c r="G25" s="14" t="s">
        <v>61</v>
      </c>
    </row>
    <row r="26" customFormat="false" ht="23.85" hidden="false" customHeight="false" outlineLevel="0" collapsed="false">
      <c r="A26" s="16" t="n">
        <v>24</v>
      </c>
      <c r="B26" s="16" t="s">
        <v>58</v>
      </c>
      <c r="C26" s="22" t="s">
        <v>93</v>
      </c>
      <c r="D26" s="23" t="n">
        <v>81000</v>
      </c>
      <c r="E26" s="16" t="s">
        <v>94</v>
      </c>
      <c r="F26" s="16" t="s">
        <v>50</v>
      </c>
      <c r="G26" s="16" t="s">
        <v>95</v>
      </c>
      <c r="H26" s="24" t="s">
        <v>96</v>
      </c>
      <c r="I26" s="25" t="s">
        <v>97</v>
      </c>
    </row>
    <row r="27" customFormat="false" ht="15" hidden="false" customHeight="false" outlineLevel="0" collapsed="false">
      <c r="A27" s="14" t="n">
        <v>25</v>
      </c>
      <c r="B27" s="14" t="s">
        <v>98</v>
      </c>
      <c r="C27" s="22" t="s">
        <v>99</v>
      </c>
      <c r="D27" s="23" t="n">
        <v>38000</v>
      </c>
      <c r="E27" s="14" t="s">
        <v>100</v>
      </c>
      <c r="F27" s="14" t="s">
        <v>42</v>
      </c>
      <c r="G27" s="14" t="s">
        <v>43</v>
      </c>
      <c r="H27" s="24" t="s">
        <v>101</v>
      </c>
      <c r="I27" s="5" t="s">
        <v>102</v>
      </c>
    </row>
    <row r="28" customFormat="false" ht="23.85" hidden="false" customHeight="false" outlineLevel="0" collapsed="false">
      <c r="A28" s="14" t="n">
        <v>26</v>
      </c>
      <c r="B28" s="14" t="s">
        <v>98</v>
      </c>
      <c r="C28" s="22" t="s">
        <v>103</v>
      </c>
      <c r="D28" s="23" t="s">
        <v>104</v>
      </c>
      <c r="E28" s="14" t="s">
        <v>105</v>
      </c>
      <c r="F28" s="14" t="s">
        <v>42</v>
      </c>
      <c r="G28" s="14" t="s">
        <v>43</v>
      </c>
      <c r="H28" s="24" t="s">
        <v>106</v>
      </c>
      <c r="I28" s="5" t="s">
        <v>107</v>
      </c>
    </row>
    <row r="29" customFormat="false" ht="15" hidden="false" customHeight="false" outlineLevel="0" collapsed="false">
      <c r="A29" s="16" t="n">
        <v>27</v>
      </c>
      <c r="B29" s="16" t="s">
        <v>98</v>
      </c>
      <c r="C29" s="22" t="s">
        <v>108</v>
      </c>
      <c r="D29" s="23"/>
      <c r="E29" s="16" t="s">
        <v>109</v>
      </c>
      <c r="F29" s="16" t="s">
        <v>50</v>
      </c>
      <c r="G29" s="16" t="s">
        <v>43</v>
      </c>
      <c r="H29" s="24" t="s">
        <v>106</v>
      </c>
      <c r="I29" s="25" t="s">
        <v>110</v>
      </c>
    </row>
    <row r="30" customFormat="false" ht="15" hidden="false" customHeight="false" outlineLevel="0" collapsed="false">
      <c r="A30" s="14" t="n">
        <v>28</v>
      </c>
      <c r="B30" s="14" t="s">
        <v>111</v>
      </c>
      <c r="C30" s="14" t="s">
        <v>112</v>
      </c>
      <c r="D30" s="15" t="n">
        <v>260000</v>
      </c>
      <c r="E30" s="14" t="s">
        <v>113</v>
      </c>
      <c r="F30" s="14" t="s">
        <v>42</v>
      </c>
      <c r="G30" s="14" t="s">
        <v>43</v>
      </c>
    </row>
    <row r="31" customFormat="false" ht="15" hidden="false" customHeight="false" outlineLevel="0" collapsed="false">
      <c r="A31" s="14" t="n">
        <v>29</v>
      </c>
      <c r="B31" s="14" t="s">
        <v>111</v>
      </c>
      <c r="C31" s="14" t="s">
        <v>114</v>
      </c>
      <c r="D31" s="15" t="n">
        <v>48000</v>
      </c>
      <c r="E31" s="14"/>
      <c r="F31" s="14" t="s">
        <v>42</v>
      </c>
      <c r="G31" s="14" t="s">
        <v>43</v>
      </c>
    </row>
    <row r="32" customFormat="false" ht="15" hidden="false" customHeight="false" outlineLevel="0" collapsed="false">
      <c r="A32" s="14" t="n">
        <v>30</v>
      </c>
      <c r="B32" s="14" t="s">
        <v>115</v>
      </c>
      <c r="C32" s="14" t="s">
        <v>116</v>
      </c>
      <c r="D32" s="15" t="n">
        <v>95000</v>
      </c>
      <c r="E32" s="14" t="s">
        <v>117</v>
      </c>
      <c r="F32" s="14" t="s">
        <v>42</v>
      </c>
      <c r="G32" s="14" t="s">
        <v>43</v>
      </c>
    </row>
    <row r="33" customFormat="false" ht="15" hidden="false" customHeight="false" outlineLevel="0" collapsed="false">
      <c r="A33" s="14" t="n">
        <v>31</v>
      </c>
      <c r="B33" s="14" t="s">
        <v>115</v>
      </c>
      <c r="C33" s="14" t="s">
        <v>118</v>
      </c>
      <c r="D33" s="15" t="n">
        <v>52000</v>
      </c>
      <c r="E33" s="14"/>
      <c r="F33" s="14" t="s">
        <v>42</v>
      </c>
      <c r="G33" s="14" t="s">
        <v>43</v>
      </c>
    </row>
    <row r="34" customFormat="false" ht="15" hidden="false" customHeight="false" outlineLevel="0" collapsed="false">
      <c r="A34" s="14" t="n">
        <v>32</v>
      </c>
      <c r="B34" s="14" t="s">
        <v>119</v>
      </c>
      <c r="C34" s="14" t="s">
        <v>120</v>
      </c>
      <c r="D34" s="15" t="n">
        <v>64000</v>
      </c>
      <c r="E34" s="14"/>
      <c r="F34" s="14" t="s">
        <v>42</v>
      </c>
      <c r="G34" s="14" t="s">
        <v>43</v>
      </c>
    </row>
    <row r="35" customFormat="false" ht="15" hidden="false" customHeight="false" outlineLevel="0" collapsed="false">
      <c r="A35" s="14" t="n">
        <v>33</v>
      </c>
      <c r="B35" s="14" t="s">
        <v>119</v>
      </c>
      <c r="C35" s="14" t="s">
        <v>121</v>
      </c>
      <c r="D35" s="15" t="n">
        <v>28000</v>
      </c>
      <c r="E35" s="14"/>
      <c r="F35" s="14" t="s">
        <v>42</v>
      </c>
      <c r="G35" s="14" t="s">
        <v>43</v>
      </c>
    </row>
    <row r="36" customFormat="false" ht="23.85" hidden="false" customHeight="false" outlineLevel="0" collapsed="false">
      <c r="A36" s="14" t="n">
        <v>34</v>
      </c>
      <c r="B36" s="14" t="s">
        <v>119</v>
      </c>
      <c r="C36" s="14" t="s">
        <v>122</v>
      </c>
      <c r="D36" s="15" t="n">
        <v>31000</v>
      </c>
      <c r="E36" s="14" t="s">
        <v>123</v>
      </c>
      <c r="F36" s="14" t="s">
        <v>42</v>
      </c>
      <c r="G36" s="14" t="s">
        <v>43</v>
      </c>
    </row>
    <row r="37" customFormat="false" ht="15" hidden="false" customHeight="false" outlineLevel="0" collapsed="false">
      <c r="A37" s="14" t="n">
        <v>35</v>
      </c>
      <c r="B37" s="14" t="s">
        <v>119</v>
      </c>
      <c r="C37" s="22" t="s">
        <v>124</v>
      </c>
      <c r="D37" s="23"/>
      <c r="E37" s="14" t="s">
        <v>125</v>
      </c>
      <c r="F37" s="14" t="s">
        <v>42</v>
      </c>
      <c r="G37" s="14" t="s">
        <v>43</v>
      </c>
      <c r="H37" s="24" t="s">
        <v>106</v>
      </c>
      <c r="I37" s="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80"/>
    <col collapsed="false" customWidth="true" hidden="false" outlineLevel="0" max="6" min="6" style="0" width="44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8" t="s">
        <v>127</v>
      </c>
    </row>
    <row r="2" customFormat="false" ht="15" hidden="false" customHeight="false" outlineLevel="0" collapsed="false">
      <c r="A2" s="11" t="s">
        <v>128</v>
      </c>
      <c r="B2" s="11" t="s">
        <v>129</v>
      </c>
      <c r="C2" s="11" t="s">
        <v>130</v>
      </c>
      <c r="D2" s="11" t="s">
        <v>131</v>
      </c>
      <c r="E2" s="11" t="s">
        <v>132</v>
      </c>
      <c r="F2" s="11" t="s">
        <v>133</v>
      </c>
      <c r="G2" s="11" t="s">
        <v>134</v>
      </c>
    </row>
    <row r="3" customFormat="false" ht="23.85" hidden="false" customHeight="false" outlineLevel="0" collapsed="false">
      <c r="A3" s="14" t="s">
        <v>135</v>
      </c>
      <c r="B3" s="14" t="n">
        <v>42</v>
      </c>
      <c r="C3" s="14" t="s">
        <v>136</v>
      </c>
      <c r="D3" s="14" t="s">
        <v>137</v>
      </c>
      <c r="E3" s="14" t="s">
        <v>138</v>
      </c>
      <c r="F3" s="14" t="s">
        <v>139</v>
      </c>
      <c r="G3" s="14"/>
    </row>
    <row r="4" customFormat="false" ht="23.85" hidden="false" customHeight="false" outlineLevel="0" collapsed="false">
      <c r="A4" s="14" t="s">
        <v>135</v>
      </c>
      <c r="B4" s="14" t="n">
        <v>45</v>
      </c>
      <c r="C4" s="14" t="s">
        <v>140</v>
      </c>
      <c r="D4" s="14" t="s">
        <v>141</v>
      </c>
      <c r="E4" s="14" t="s">
        <v>142</v>
      </c>
      <c r="F4" s="14" t="s">
        <v>143</v>
      </c>
      <c r="G4" s="14" t="s">
        <v>144</v>
      </c>
    </row>
    <row r="5" customFormat="false" ht="15" hidden="false" customHeight="false" outlineLevel="0" collapsed="false">
      <c r="A5" s="14" t="s">
        <v>135</v>
      </c>
      <c r="B5" s="14" t="n">
        <v>48</v>
      </c>
      <c r="C5" s="14" t="s">
        <v>145</v>
      </c>
      <c r="D5" s="14" t="s">
        <v>146</v>
      </c>
      <c r="E5" s="14" t="s">
        <v>147</v>
      </c>
      <c r="F5" s="14" t="s">
        <v>148</v>
      </c>
      <c r="G5" s="14" t="s">
        <v>149</v>
      </c>
    </row>
    <row r="6" customFormat="false" ht="23.85" hidden="false" customHeight="false" outlineLevel="0" collapsed="false">
      <c r="A6" s="14" t="s">
        <v>135</v>
      </c>
      <c r="B6" s="14" t="n">
        <v>119</v>
      </c>
      <c r="C6" s="14" t="s">
        <v>140</v>
      </c>
      <c r="D6" s="14" t="s">
        <v>150</v>
      </c>
      <c r="E6" s="14" t="s">
        <v>151</v>
      </c>
      <c r="F6" s="14" t="s">
        <v>152</v>
      </c>
      <c r="G6" s="19" t="s">
        <v>153</v>
      </c>
    </row>
    <row r="7" customFormat="false" ht="15" hidden="false" customHeight="false" outlineLevel="0" collapsed="false">
      <c r="A7" s="14" t="s">
        <v>135</v>
      </c>
      <c r="B7" s="14" t="n">
        <v>125</v>
      </c>
      <c r="C7" s="14" t="s">
        <v>154</v>
      </c>
      <c r="D7" s="14" t="s">
        <v>155</v>
      </c>
      <c r="E7" s="14" t="s">
        <v>156</v>
      </c>
      <c r="F7" s="14" t="s">
        <v>157</v>
      </c>
      <c r="G7" s="14" t="s">
        <v>158</v>
      </c>
    </row>
    <row r="8" customFormat="false" ht="23.85" hidden="false" customHeight="false" outlineLevel="0" collapsed="false">
      <c r="A8" s="14" t="s">
        <v>135</v>
      </c>
      <c r="B8" s="14" t="n">
        <v>144</v>
      </c>
      <c r="C8" s="14" t="s">
        <v>140</v>
      </c>
      <c r="D8" s="14" t="s">
        <v>159</v>
      </c>
      <c r="E8" s="14" t="s">
        <v>160</v>
      </c>
      <c r="F8" s="14" t="s">
        <v>161</v>
      </c>
      <c r="G8" s="14" t="s">
        <v>162</v>
      </c>
    </row>
    <row r="9" customFormat="false" ht="35.05" hidden="false" customHeight="false" outlineLevel="0" collapsed="false">
      <c r="A9" s="14" t="s">
        <v>135</v>
      </c>
      <c r="B9" s="14" t="n">
        <v>147</v>
      </c>
      <c r="C9" s="14" t="s">
        <v>154</v>
      </c>
      <c r="D9" s="14" t="s">
        <v>163</v>
      </c>
      <c r="E9" s="14" t="s">
        <v>164</v>
      </c>
      <c r="F9" s="14" t="s">
        <v>165</v>
      </c>
      <c r="G9" s="19" t="s">
        <v>166</v>
      </c>
    </row>
    <row r="10" customFormat="false" ht="23.85" hidden="false" customHeight="false" outlineLevel="0" collapsed="false">
      <c r="A10" s="14" t="s">
        <v>135</v>
      </c>
      <c r="B10" s="14" t="n">
        <v>150</v>
      </c>
      <c r="C10" s="14" t="s">
        <v>140</v>
      </c>
      <c r="D10" s="14" t="s">
        <v>167</v>
      </c>
      <c r="E10" s="14" t="s">
        <v>168</v>
      </c>
      <c r="F10" s="14" t="s">
        <v>169</v>
      </c>
      <c r="G10" s="19" t="s">
        <v>166</v>
      </c>
    </row>
    <row r="11" customFormat="false" ht="23.85" hidden="false" customHeight="false" outlineLevel="0" collapsed="false">
      <c r="A11" s="14" t="s">
        <v>135</v>
      </c>
      <c r="B11" s="14" t="n">
        <v>153</v>
      </c>
      <c r="C11" s="14" t="s">
        <v>154</v>
      </c>
      <c r="D11" s="14" t="s">
        <v>170</v>
      </c>
      <c r="E11" s="14" t="s">
        <v>171</v>
      </c>
      <c r="F11" s="14" t="s">
        <v>172</v>
      </c>
      <c r="G11" s="19" t="s">
        <v>173</v>
      </c>
    </row>
    <row r="12" customFormat="false" ht="46.25" hidden="false" customHeight="false" outlineLevel="0" collapsed="false">
      <c r="A12" s="14" t="s">
        <v>174</v>
      </c>
      <c r="B12" s="14" t="n">
        <v>23</v>
      </c>
      <c r="C12" s="14" t="s">
        <v>154</v>
      </c>
      <c r="D12" s="14" t="s">
        <v>175</v>
      </c>
      <c r="E12" s="14" t="s">
        <v>176</v>
      </c>
      <c r="F12" s="14" t="s">
        <v>177</v>
      </c>
      <c r="G12" s="19" t="s">
        <v>178</v>
      </c>
    </row>
    <row r="13" customFormat="false" ht="23.85" hidden="false" customHeight="false" outlineLevel="0" collapsed="false">
      <c r="A13" s="14" t="s">
        <v>174</v>
      </c>
      <c r="B13" s="14" t="n">
        <v>24</v>
      </c>
      <c r="C13" s="14" t="s">
        <v>154</v>
      </c>
      <c r="D13" s="14" t="s">
        <v>175</v>
      </c>
      <c r="E13" s="14" t="s">
        <v>179</v>
      </c>
      <c r="F13" s="14" t="s">
        <v>180</v>
      </c>
      <c r="G13" s="14" t="s">
        <v>181</v>
      </c>
    </row>
    <row r="14" customFormat="false" ht="23.85" hidden="false" customHeight="false" outlineLevel="0" collapsed="false">
      <c r="A14" s="14" t="s">
        <v>174</v>
      </c>
      <c r="B14" s="14" t="n">
        <v>25</v>
      </c>
      <c r="C14" s="14" t="s">
        <v>154</v>
      </c>
      <c r="D14" s="14" t="s">
        <v>175</v>
      </c>
      <c r="E14" s="14" t="s">
        <v>182</v>
      </c>
      <c r="F14" s="14" t="s">
        <v>183</v>
      </c>
      <c r="G14" s="19" t="s">
        <v>184</v>
      </c>
    </row>
    <row r="15" customFormat="false" ht="23.85" hidden="false" customHeight="false" outlineLevel="0" collapsed="false">
      <c r="A15" s="14" t="s">
        <v>174</v>
      </c>
      <c r="B15" s="14" t="n">
        <v>42</v>
      </c>
      <c r="C15" s="14" t="s">
        <v>154</v>
      </c>
      <c r="D15" s="14" t="s">
        <v>175</v>
      </c>
      <c r="E15" s="14" t="s">
        <v>185</v>
      </c>
      <c r="F15" s="14" t="s">
        <v>186</v>
      </c>
      <c r="G15" s="14" t="s">
        <v>187</v>
      </c>
    </row>
    <row r="16" customFormat="false" ht="23.85" hidden="false" customHeight="false" outlineLevel="0" collapsed="false">
      <c r="A16" s="14" t="s">
        <v>188</v>
      </c>
      <c r="B16" s="14" t="n">
        <v>36</v>
      </c>
      <c r="C16" s="14" t="s">
        <v>189</v>
      </c>
      <c r="D16" s="14" t="s">
        <v>190</v>
      </c>
      <c r="E16" s="14" t="s">
        <v>191</v>
      </c>
      <c r="F16" s="14" t="s">
        <v>192</v>
      </c>
      <c r="G16" s="22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8" t="s">
        <v>194</v>
      </c>
    </row>
    <row r="2" customFormat="false" ht="26.85" hidden="false" customHeight="false" outlineLevel="0" collapsed="false">
      <c r="A2" s="11" t="s">
        <v>195</v>
      </c>
      <c r="B2" s="11" t="s">
        <v>196</v>
      </c>
      <c r="C2" s="11" t="s">
        <v>197</v>
      </c>
      <c r="D2" s="11" t="s">
        <v>198</v>
      </c>
      <c r="E2" s="11" t="s">
        <v>199</v>
      </c>
      <c r="F2" s="11" t="s">
        <v>200</v>
      </c>
      <c r="G2" s="11" t="s">
        <v>201</v>
      </c>
      <c r="H2" s="11" t="s">
        <v>202</v>
      </c>
    </row>
    <row r="3" customFormat="false" ht="23.85" hidden="false" customHeight="false" outlineLevel="0" collapsed="false">
      <c r="A3" s="14" t="s">
        <v>203</v>
      </c>
      <c r="B3" s="14" t="s">
        <v>204</v>
      </c>
      <c r="C3" s="14" t="s">
        <v>205</v>
      </c>
      <c r="D3" s="14" t="s">
        <v>206</v>
      </c>
      <c r="E3" s="14" t="s">
        <v>207</v>
      </c>
      <c r="F3" s="14" t="s">
        <v>208</v>
      </c>
      <c r="G3" s="14" t="s">
        <v>209</v>
      </c>
      <c r="H3" s="14" t="s">
        <v>210</v>
      </c>
    </row>
    <row r="4" customFormat="false" ht="23.85" hidden="false" customHeight="false" outlineLevel="0" collapsed="false">
      <c r="A4" s="14" t="s">
        <v>211</v>
      </c>
      <c r="B4" s="14" t="s">
        <v>212</v>
      </c>
      <c r="C4" s="14" t="s">
        <v>213</v>
      </c>
      <c r="D4" s="14" t="s">
        <v>214</v>
      </c>
      <c r="E4" s="14" t="s">
        <v>215</v>
      </c>
      <c r="F4" s="14" t="s">
        <v>216</v>
      </c>
      <c r="G4" s="14" t="s">
        <v>217</v>
      </c>
      <c r="H4" s="14" t="s">
        <v>218</v>
      </c>
    </row>
    <row r="5" customFormat="false" ht="23.85" hidden="false" customHeight="false" outlineLevel="0" collapsed="false">
      <c r="A5" s="14" t="s">
        <v>219</v>
      </c>
      <c r="B5" s="14" t="s">
        <v>220</v>
      </c>
      <c r="C5" s="14" t="s">
        <v>221</v>
      </c>
      <c r="D5" s="14" t="s">
        <v>222</v>
      </c>
      <c r="E5" s="14" t="s">
        <v>223</v>
      </c>
      <c r="F5" s="14" t="s">
        <v>224</v>
      </c>
      <c r="G5" s="14" t="s">
        <v>217</v>
      </c>
      <c r="H5" s="14" t="s">
        <v>225</v>
      </c>
    </row>
    <row r="6" customFormat="false" ht="23.85" hidden="false" customHeight="false" outlineLevel="0" collapsed="false">
      <c r="A6" s="14" t="s">
        <v>226</v>
      </c>
      <c r="B6" s="14" t="s">
        <v>227</v>
      </c>
      <c r="C6" s="14" t="s">
        <v>228</v>
      </c>
      <c r="D6" s="14" t="s">
        <v>229</v>
      </c>
      <c r="E6" s="14" t="s">
        <v>230</v>
      </c>
      <c r="F6" s="14" t="s">
        <v>231</v>
      </c>
      <c r="G6" s="14" t="s">
        <v>209</v>
      </c>
      <c r="H6" s="14" t="s">
        <v>232</v>
      </c>
    </row>
    <row r="7" customFormat="false" ht="23.85" hidden="false" customHeight="false" outlineLevel="0" collapsed="false">
      <c r="A7" s="14" t="s">
        <v>233</v>
      </c>
      <c r="B7" s="14" t="s">
        <v>234</v>
      </c>
      <c r="C7" s="14" t="s">
        <v>235</v>
      </c>
      <c r="D7" s="14" t="s">
        <v>236</v>
      </c>
      <c r="E7" s="14" t="s">
        <v>237</v>
      </c>
      <c r="F7" s="14" t="s">
        <v>224</v>
      </c>
      <c r="G7" s="14" t="s">
        <v>217</v>
      </c>
      <c r="H7" s="14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2026-10-28T16:46:15Z</dcterms:created>
  <dc:creator>openpyxl</dc:creator>
  <dc:description/>
  <dc:language>en-US</dc:language>
  <cp:lastModifiedBy/>
  <dcterms:modified xsi:type="dcterms:W3CDTF">2026-10-28T16:46:15Z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