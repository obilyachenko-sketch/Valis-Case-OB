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ress tests" sheetId="2" state="visible" r:id="rId4"/>
    <sheet name="Tickets (raw)" sheetId="3" state="visible" r:id="rId5"/>
    <sheet name="Breakdown" sheetId="4" state="visible" r:id="rId6"/>
    <sheet name="Sources" sheetId="5" state="visible" r:id="rId7"/>
    <sheet name="Cannot verify" sheetId="6" state="visible" r:id="rId8"/>
    <sheet name="Alternativ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This is the one judgment input. Set to the 'FTE needed' result (B17) for a stricter reading: value becomes (1 − 0.14) × cost.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29.9 h/quarter is the modelled saving from Analysis/output/autopilot/summary.json (fallback 20%, residuals 5/10 min).</t>
        </r>
      </text>
    </comment>
  </commentList>
</comments>
</file>

<file path=xl/sharedStrings.xml><?xml version="1.0" encoding="utf-8"?>
<sst xmlns="http://schemas.openxmlformats.org/spreadsheetml/2006/main" count="933" uniqueCount="488">
  <si>
    <t xml:space="preserve">Value number — support hire avoided (CFO worksheet)</t>
  </si>
  <si>
    <t xml:space="preserve">Blue = input with source · green = link to another tab · black = formula. Every calculated cell recomputes from 'Tickets (raw)' and 'Sources'. Type: cost AVOIDANCE (req not opened), not a cut to existing spend.</t>
  </si>
  <si>
    <t xml:space="preserve">Inputs</t>
  </si>
  <si>
    <t xml:space="preserve">Claimed support load (h/week)</t>
  </si>
  <si>
    <t xml:space="preserve">slack_export.md L176 (Liam, Ops): 'easily 40 hrs/week'</t>
  </si>
  <si>
    <t xml:space="preserve">FTE requested</t>
  </si>
  <si>
    <t xml:space="preserve">slack_export.md L188: 'a full-time person's worth, minimum'</t>
  </si>
  <si>
    <t xml:space="preserve">Weeks per quarter</t>
  </si>
  <si>
    <t xml:space="preserve">Finance convention (52 / 4). Data span is 12.7 weeks; using 13 is slightly conservative.</t>
  </si>
  <si>
    <t xml:space="preserve">Hours per FTE per week</t>
  </si>
  <si>
    <t xml:space="preserve">Full-time week.</t>
  </si>
  <si>
    <t xml:space="preserve">Loaded personnel cost, Q1</t>
  </si>
  <si>
    <t xml:space="preserve">pnl_q1_2026.csv L7 — 'Salaries &amp; benefits (all teams)', note: '~300 FTE; loaded cost'</t>
  </si>
  <si>
    <t xml:space="preserve">Headcount (FTE)</t>
  </si>
  <si>
    <t xml:space="preserve">headcount_roster.csv L18 — TOTAL,300</t>
  </si>
  <si>
    <t xml:space="preserve">Incremental FTE actually needed</t>
  </si>
  <si>
    <t xml:space="preserve">Judgment: current team already absorbs the load (138 of 140 Q1 tickets closed). Stress-tested on 'Stress tests'.</t>
  </si>
  <si>
    <t xml:space="preserve">Measured load (from all ticket rows)</t>
  </si>
  <si>
    <t xml:space="preserve">Tickets, Q1 2026</t>
  </si>
  <si>
    <t xml:space="preserve">support_tickets_q1_2026.csv L2–L141</t>
  </si>
  <si>
    <t xml:space="preserve">Handle minutes, Q1</t>
  </si>
  <si>
    <t xml:space="preserve">Sum of Handle_Minutes, every row</t>
  </si>
  <si>
    <t xml:space="preserve">Hours per quarter</t>
  </si>
  <si>
    <t xml:space="preserve">Hours per week</t>
  </si>
  <si>
    <t xml:space="preserve">FTE needed (measured)</t>
  </si>
  <si>
    <t xml:space="preserve">Claim ÷ measured</t>
  </si>
  <si>
    <t xml:space="preserve">How far the felt load exceeds the logged load</t>
  </si>
  <si>
    <t xml:space="preserve">Unit cost</t>
  </si>
  <si>
    <t xml:space="preserve">Loaded cost per FTE per quarter</t>
  </si>
  <si>
    <t xml:space="preserve">Loaded cost per FTE per year</t>
  </si>
  <si>
    <t xml:space="preserve">Loaded cost per hour</t>
  </si>
  <si>
    <t xml:space="preserve">The number</t>
  </si>
  <si>
    <t xml:space="preserve">Support hire avoided, per year</t>
  </si>
  <si>
    <t xml:space="preserve">Formula: (FTE requested − incremental FTE needed) × loaded cost per FTE per year</t>
  </si>
  <si>
    <t xml:space="preserve">Confidence</t>
  </si>
  <si>
    <t xml:space="preserve">Medium</t>
  </si>
  <si>
    <t xml:space="preserve">High on Q1 (every row measured). Open on Q2 volume — see 'Stress tests' rows 18–23.</t>
  </si>
  <si>
    <t xml:space="preserve">Bounds (worst case: Ops' '#47 this week' is typical for Q2)</t>
  </si>
  <si>
    <t xml:space="preserve">Worst case — FTE needed, manual</t>
  </si>
  <si>
    <t xml:space="preserve">Worst case — value per year, manual</t>
  </si>
  <si>
    <t xml:space="preserve">Half a person still avoided</t>
  </si>
  <si>
    <t xml:space="preserve">Worst case — FTE needed, IF thumbnail swaps were also automated (not selected)</t>
  </si>
  <si>
    <t xml:space="preserve">Scenario only. The selected automation is tax forms (D1), which doesn't touch thumbnails; the headline floor is B32.</t>
  </si>
  <si>
    <t xml:space="preserve">Worst case — value per year, IF thumbnails automated (not selected)</t>
  </si>
  <si>
    <t xml:space="preserve">Unblocker: Q2 support tickets (same columns, Apr 1 – Jun 30). Paste below row 142 on 'Tickets (raw)' and extend ranges, or rerun the builder.</t>
  </si>
  <si>
    <t xml:space="preserve">Where a finance person will push — each test recomputed live</t>
  </si>
  <si>
    <t xml:space="preserve">Under-logging: tickets miss some effort</t>
  </si>
  <si>
    <t xml:space="preserve">FTE needed if real effort = 2× logged</t>
  </si>
  <si>
    <t xml:space="preserve">Still &lt; 0.5 FTE → holds</t>
  </si>
  <si>
    <t xml:space="preserve">FTE needed if real effort = 3× logged</t>
  </si>
  <si>
    <t xml:space="preserve">Share of effort tickets must capture for the 40 h claim to be true</t>
  </si>
  <si>
    <t xml:space="preserve">Implausibly low without evidence of large off-ticket work</t>
  </si>
  <si>
    <t xml:space="preserve">Seasonality and growth</t>
  </si>
  <si>
    <t xml:space="preserve">Tax-form share of Q1 minutes (W-9/W-8 season)</t>
  </si>
  <si>
    <t xml:space="preserve">NOT a proven peak: tax forms come with new-creator onboarding (slack L171) and Ops calls June 'tax form season again' (L201). Treat as neutral.</t>
  </si>
  <si>
    <t xml:space="preserve">Hours, 2026-01</t>
  </si>
  <si>
    <t xml:space="preserve">Hours, 2026-03</t>
  </si>
  <si>
    <t xml:space="preserve">Change first → last month</t>
  </si>
  <si>
    <t xml:space="preserve">Flat to slightly up</t>
  </si>
  <si>
    <t xml:space="preserve">FTE needed at 2× ticket volume</t>
  </si>
  <si>
    <t xml:space="preserve">Holds</t>
  </si>
  <si>
    <t xml:space="preserve">The '#47 this week' challenge (slack_export.md L193, May 21)</t>
  </si>
  <si>
    <t xml:space="preserve">Thumbnail requests in one week (Ops claim)</t>
  </si>
  <si>
    <t xml:space="preserve">Sources row — verbatim quote there</t>
  </si>
  <si>
    <t xml:space="preserve">Q1 average thumbnail tickets per week</t>
  </si>
  <si>
    <t xml:space="preserve">Q1 busiest week (thumbnail tickets)</t>
  </si>
  <si>
    <t xml:space="preserve">47 would be this many times the busiest Q1 week →</t>
  </si>
  <si>
    <t xml:space="preserve">Average minutes per thumbnail ticket</t>
  </si>
  <si>
    <t xml:space="preserve">Other categories, h/week (Q1 rate)</t>
  </si>
  <si>
    <t xml:space="preserve">If every week in Q2 were like May 21</t>
  </si>
  <si>
    <t xml:space="preserve">Automation fallback rate (assumption)</t>
  </si>
  <si>
    <t xml:space="preserve">Analysis/automation/playbooks.json — share of deflected tickets still needing a person</t>
  </si>
  <si>
    <t xml:space="preserve">Worst case — FTE needed, IF thumbnails automated (not selected)</t>
  </si>
  <si>
    <t xml:space="preserve">Thumbnails deflected to self-serve; other work unchanged</t>
  </si>
  <si>
    <t xml:space="preserve">Residual minutes per automated thumbnail (assumption)</t>
  </si>
  <si>
    <t xml:space="preserve">playbooks.json — human spot-check time</t>
  </si>
  <si>
    <t xml:space="preserve">Verdict: the number survives every test except a Q2 surge at the '#47' rate without automation — then about half a person is needed and the value falls to the 'manual' bound on the Summary.</t>
  </si>
  <si>
    <t xml:space="preserve">Raw export: support_tickets_q1_2026.csv — all 140 rows as delivered. Month and ISO week are formulas; Flag/Comment are mine.</t>
  </si>
  <si>
    <t xml:space="preserve">Source line</t>
  </si>
  <si>
    <t xml:space="preserve">Ticket_ID</t>
  </si>
  <si>
    <t xml:space="preserve">Date</t>
  </si>
  <si>
    <t xml:space="preserve">Category</t>
  </si>
  <si>
    <t xml:space="preserve">Submitted_By</t>
  </si>
  <si>
    <t xml:space="preserve">Assigned_To</t>
  </si>
  <si>
    <t xml:space="preserve">Handle_Minutes</t>
  </si>
  <si>
    <t xml:space="preserve">Status</t>
  </si>
  <si>
    <t xml:space="preserve">Month</t>
  </si>
  <si>
    <t xml:space="preserve">ISO week</t>
  </si>
  <si>
    <t xml:space="preserve">Flag</t>
  </si>
  <si>
    <t xml:space="preserve">Comment</t>
  </si>
  <si>
    <t xml:space="preserve">TCK-1001</t>
  </si>
  <si>
    <t xml:space="preserve">Thumbnail re-upload</t>
  </si>
  <si>
    <t xml:space="preserve">creator_avaloncreates</t>
  </si>
  <si>
    <t xml:space="preserve">Ops Support</t>
  </si>
  <si>
    <t xml:space="preserve">Closed</t>
  </si>
  <si>
    <t xml:space="preserve">TCK-1002</t>
  </si>
  <si>
    <t xml:space="preserve">Tax form (W-9/W-8)</t>
  </si>
  <si>
    <t xml:space="preserve">creator_brightpixel</t>
  </si>
  <si>
    <t xml:space="preserve">TCK-1003</t>
  </si>
  <si>
    <t xml:space="preserve">Login issue</t>
  </si>
  <si>
    <t xml:space="preserve">creator_chartedwaters</t>
  </si>
  <si>
    <t xml:space="preserve">TCK-1004</t>
  </si>
  <si>
    <t xml:space="preserve">creator_dunemotion</t>
  </si>
  <si>
    <t xml:space="preserve">TCK-1005</t>
  </si>
  <si>
    <t xml:space="preserve">Payout question</t>
  </si>
  <si>
    <t xml:space="preserve">creator_emberlite</t>
  </si>
  <si>
    <t xml:space="preserve">TCK-1006</t>
  </si>
  <si>
    <t xml:space="preserve">creator_foxglovestudio</t>
  </si>
  <si>
    <t xml:space="preserve">TCK-1007</t>
  </si>
  <si>
    <t xml:space="preserve">creator_glasscanyon</t>
  </si>
  <si>
    <t xml:space="preserve">TCK-1008</t>
  </si>
  <si>
    <t xml:space="preserve">creator_harborlight</t>
  </si>
  <si>
    <t xml:space="preserve">TCK-1009</t>
  </si>
  <si>
    <t xml:space="preserve">creator_ivoryreef</t>
  </si>
  <si>
    <t xml:space="preserve">TCK-1010</t>
  </si>
  <si>
    <t xml:space="preserve">creator_junipertrail</t>
  </si>
  <si>
    <t xml:space="preserve">TCK-1011</t>
  </si>
  <si>
    <t xml:space="preserve">creator_kelpforest</t>
  </si>
  <si>
    <t xml:space="preserve">TCK-1012</t>
  </si>
  <si>
    <t xml:space="preserve">creator_lanternbay</t>
  </si>
  <si>
    <t xml:space="preserve">TCK-1013</t>
  </si>
  <si>
    <t xml:space="preserve">creator_moonlitpath</t>
  </si>
  <si>
    <t xml:space="preserve">DATA QUALITY</t>
  </si>
  <si>
    <t xml:space="preserve">Assigned_To blank. Kept: effort is still logged in Handle_Minutes.</t>
  </si>
  <si>
    <t xml:space="preserve">TCK-1014</t>
  </si>
  <si>
    <t xml:space="preserve">creator_northstarvideo</t>
  </si>
  <si>
    <t xml:space="preserve">TCK-1015</t>
  </si>
  <si>
    <t xml:space="preserve">creator_oakhollow</t>
  </si>
  <si>
    <t xml:space="preserve">TCK-1016</t>
  </si>
  <si>
    <t xml:space="preserve">Account access</t>
  </si>
  <si>
    <t xml:space="preserve">creator_pinegrove</t>
  </si>
  <si>
    <t xml:space="preserve">TCK-1017</t>
  </si>
  <si>
    <t xml:space="preserve">creator_quietharbor</t>
  </si>
  <si>
    <t xml:space="preserve">TCK-1018</t>
  </si>
  <si>
    <t xml:space="preserve">creator_riverstone</t>
  </si>
  <si>
    <t xml:space="preserve">TCK-1019</t>
  </si>
  <si>
    <t xml:space="preserve">creator_silvercrest</t>
  </si>
  <si>
    <t xml:space="preserve">TCK-1020</t>
  </si>
  <si>
    <t xml:space="preserve">creator_tidalwave</t>
  </si>
  <si>
    <t xml:space="preserve">TCK-1021</t>
  </si>
  <si>
    <t xml:space="preserve">creator_umberglow</t>
  </si>
  <si>
    <t xml:space="preserve">TCK-1022</t>
  </si>
  <si>
    <t xml:space="preserve">creator_violetdusk</t>
  </si>
  <si>
    <t xml:space="preserve">TCK-1023</t>
  </si>
  <si>
    <t xml:space="preserve">creator_wildfern</t>
  </si>
  <si>
    <t xml:space="preserve">TCK-1024</t>
  </si>
  <si>
    <t xml:space="preserve">creator_xanaduclips</t>
  </si>
  <si>
    <t xml:space="preserve">TCK-1025</t>
  </si>
  <si>
    <t xml:space="preserve">creator_yellowpine</t>
  </si>
  <si>
    <t xml:space="preserve">TCK-1026</t>
  </si>
  <si>
    <t xml:space="preserve">creator_zephyrmedia</t>
  </si>
  <si>
    <t xml:space="preserve">TCK-1027</t>
  </si>
  <si>
    <t xml:space="preserve">creator_amberfield</t>
  </si>
  <si>
    <t xml:space="preserve">TCK-1028</t>
  </si>
  <si>
    <t xml:space="preserve">creator_brookside</t>
  </si>
  <si>
    <t xml:space="preserve">TCK-1029</t>
  </si>
  <si>
    <t xml:space="preserve">creator_cedarpoint</t>
  </si>
  <si>
    <t xml:space="preserve">TCK-1030</t>
  </si>
  <si>
    <t xml:space="preserve">Content takedown</t>
  </si>
  <si>
    <t xml:space="preserve">creator_driftwood</t>
  </si>
  <si>
    <t xml:space="preserve">TCK-1031</t>
  </si>
  <si>
    <t xml:space="preserve">creator_everglade</t>
  </si>
  <si>
    <t xml:space="preserve">TCK-1032</t>
  </si>
  <si>
    <t xml:space="preserve">creator_frostpeak</t>
  </si>
  <si>
    <t xml:space="preserve">TCK-1033</t>
  </si>
  <si>
    <t xml:space="preserve">creator_goldleaf</t>
  </si>
  <si>
    <t xml:space="preserve">TCK-1034</t>
  </si>
  <si>
    <t xml:space="preserve">creator_hazelwood</t>
  </si>
  <si>
    <t xml:space="preserve">TCK-1035</t>
  </si>
  <si>
    <t xml:space="preserve">creator_indigosky</t>
  </si>
  <si>
    <t xml:space="preserve">TCK-1036</t>
  </si>
  <si>
    <t xml:space="preserve">creator_jadecoast</t>
  </si>
  <si>
    <t xml:space="preserve">TCK-1037</t>
  </si>
  <si>
    <t xml:space="preserve">creator_larkspur</t>
  </si>
  <si>
    <t xml:space="preserve">TCK-1038</t>
  </si>
  <si>
    <t xml:space="preserve">creator_mistralwind</t>
  </si>
  <si>
    <t xml:space="preserve">TCK-1039</t>
  </si>
  <si>
    <t xml:space="preserve">creator_nightowl</t>
  </si>
  <si>
    <t xml:space="preserve">TCK-1040</t>
  </si>
  <si>
    <t xml:space="preserve">creator_opalbeach</t>
  </si>
  <si>
    <t xml:space="preserve">TCK-1041</t>
  </si>
  <si>
    <t xml:space="preserve">creator_pebblecreek</t>
  </si>
  <si>
    <t xml:space="preserve">TCK-1042</t>
  </si>
  <si>
    <t xml:space="preserve">creator_quillfeather</t>
  </si>
  <si>
    <t xml:space="preserve">TCK-1043</t>
  </si>
  <si>
    <t xml:space="preserve">creator_redwoodway</t>
  </si>
  <si>
    <t xml:space="preserve">TCK-1044</t>
  </si>
  <si>
    <t xml:space="preserve">creator_sanddollar</t>
  </si>
  <si>
    <t xml:space="preserve">TCK-1045</t>
  </si>
  <si>
    <t xml:space="preserve">creator_thornbush</t>
  </si>
  <si>
    <t xml:space="preserve">TCK-1046</t>
  </si>
  <si>
    <t xml:space="preserve">creator_underbrush</t>
  </si>
  <si>
    <t xml:space="preserve">TCK-1047</t>
  </si>
  <si>
    <t xml:space="preserve">creator_vellichor</t>
  </si>
  <si>
    <t xml:space="preserve">TCK-1048</t>
  </si>
  <si>
    <t xml:space="preserve">creator_windrose</t>
  </si>
  <si>
    <t xml:space="preserve">TCK-1049</t>
  </si>
  <si>
    <t xml:space="preserve">creator_xeriscape</t>
  </si>
  <si>
    <t xml:space="preserve">TCK-1050</t>
  </si>
  <si>
    <t xml:space="preserve">creator_yarrowmeadow</t>
  </si>
  <si>
    <t xml:space="preserve">TCK-1051</t>
  </si>
  <si>
    <t xml:space="preserve">creator_zinniagarden</t>
  </si>
  <si>
    <t xml:space="preserve">TCK-1052</t>
  </si>
  <si>
    <t xml:space="preserve">creator_ashgrove</t>
  </si>
  <si>
    <t xml:space="preserve">TCK-1053</t>
  </si>
  <si>
    <t xml:space="preserve">creator_birchbark</t>
  </si>
  <si>
    <t xml:space="preserve">TCK-1054</t>
  </si>
  <si>
    <t xml:space="preserve">creator_coralcove</t>
  </si>
  <si>
    <t xml:space="preserve">TCK-1055</t>
  </si>
  <si>
    <t xml:space="preserve">creator_dewdrop</t>
  </si>
  <si>
    <t xml:space="preserve">TCK-1056</t>
  </si>
  <si>
    <t xml:space="preserve">creator_elmstreet</t>
  </si>
  <si>
    <t xml:space="preserve">TCK-1057</t>
  </si>
  <si>
    <t xml:space="preserve">creator_fernvalley</t>
  </si>
  <si>
    <t xml:space="preserve">TCK-1058</t>
  </si>
  <si>
    <t xml:space="preserve">creator_gravelpit</t>
  </si>
  <si>
    <t xml:space="preserve">TCK-1059</t>
  </si>
  <si>
    <t xml:space="preserve">creator_hollowtree</t>
  </si>
  <si>
    <t xml:space="preserve">TCK-1060</t>
  </si>
  <si>
    <t xml:space="preserve">creator_islandbreeze</t>
  </si>
  <si>
    <t xml:space="preserve">TCK-1061</t>
  </si>
  <si>
    <t xml:space="preserve">creator_jettystone</t>
  </si>
  <si>
    <t xml:space="preserve">TCK-1062</t>
  </si>
  <si>
    <t xml:space="preserve">creator_kingfisher</t>
  </si>
  <si>
    <t xml:space="preserve">TCK-1063</t>
  </si>
  <si>
    <t xml:space="preserve">creator_lighthouse</t>
  </si>
  <si>
    <t xml:space="preserve">TCK-1064</t>
  </si>
  <si>
    <t xml:space="preserve">creator_maplesyrup</t>
  </si>
  <si>
    <t xml:space="preserve">TCK-1065</t>
  </si>
  <si>
    <t xml:space="preserve">creator_nettlepatch</t>
  </si>
  <si>
    <t xml:space="preserve">TCK-1066</t>
  </si>
  <si>
    <t xml:space="preserve">creator_oysterbay</t>
  </si>
  <si>
    <t xml:space="preserve">TCK-1067</t>
  </si>
  <si>
    <t xml:space="preserve">creator_pondscum</t>
  </si>
  <si>
    <t xml:space="preserve">TCK-1068</t>
  </si>
  <si>
    <t xml:space="preserve">creator_quartzridge</t>
  </si>
  <si>
    <t xml:space="preserve">TCK-1069</t>
  </si>
  <si>
    <t xml:space="preserve">creator_rushreed</t>
  </si>
  <si>
    <t xml:space="preserve">TCK-1070</t>
  </si>
  <si>
    <t xml:space="preserve">creator_seafoam</t>
  </si>
  <si>
    <t xml:space="preserve">TCK-1071</t>
  </si>
  <si>
    <t xml:space="preserve">creator_tumbleweed</t>
  </si>
  <si>
    <t xml:space="preserve">TCK-1072</t>
  </si>
  <si>
    <t xml:space="preserve">creator_underpass</t>
  </si>
  <si>
    <t xml:space="preserve">TCK-1073</t>
  </si>
  <si>
    <t xml:space="preserve">creator_vinetrellis</t>
  </si>
  <si>
    <t xml:space="preserve">TCK-1074</t>
  </si>
  <si>
    <t xml:space="preserve">creator_willowbend</t>
  </si>
  <si>
    <t xml:space="preserve">TCK-1075</t>
  </si>
  <si>
    <t xml:space="preserve">creator_xylophone</t>
  </si>
  <si>
    <t xml:space="preserve">TCK-1076</t>
  </si>
  <si>
    <t xml:space="preserve">creator_yewberry</t>
  </si>
  <si>
    <t xml:space="preserve">TCK-1077</t>
  </si>
  <si>
    <t xml:space="preserve">creator_zephyrhill</t>
  </si>
  <si>
    <t xml:space="preserve">TCK-1078</t>
  </si>
  <si>
    <t xml:space="preserve">creator_alderwood</t>
  </si>
  <si>
    <t xml:space="preserve">TCK-1079</t>
  </si>
  <si>
    <t xml:space="preserve">creator_bramblerose</t>
  </si>
  <si>
    <t xml:space="preserve">TCK-1080</t>
  </si>
  <si>
    <t xml:space="preserve">creator_cloudbank</t>
  </si>
  <si>
    <t xml:space="preserve">TCK-1081</t>
  </si>
  <si>
    <t xml:space="preserve">creator_dappledlight</t>
  </si>
  <si>
    <t xml:space="preserve">TCK-1082</t>
  </si>
  <si>
    <t xml:space="preserve">creator_ebbtide</t>
  </si>
  <si>
    <t xml:space="preserve">TCK-1083</t>
  </si>
  <si>
    <t xml:space="preserve">creator_fallowfield</t>
  </si>
  <si>
    <t xml:space="preserve">TCK-1084</t>
  </si>
  <si>
    <t xml:space="preserve">creator_glimmerpond</t>
  </si>
  <si>
    <t xml:space="preserve">TCK-1085</t>
  </si>
  <si>
    <t xml:space="preserve">creator_heathermoor</t>
  </si>
  <si>
    <t xml:space="preserve">TCK-1086</t>
  </si>
  <si>
    <t xml:space="preserve">creator_ironbark</t>
  </si>
  <si>
    <t xml:space="preserve">TCK-1087</t>
  </si>
  <si>
    <t xml:space="preserve">creator_jasminevine</t>
  </si>
  <si>
    <t xml:space="preserve">TCK-1088</t>
  </si>
  <si>
    <t xml:space="preserve">creator_kettlepond</t>
  </si>
  <si>
    <t xml:space="preserve">TCK-1089</t>
  </si>
  <si>
    <t xml:space="preserve">creator_lilypad</t>
  </si>
  <si>
    <t xml:space="preserve">TCK-1090</t>
  </si>
  <si>
    <t xml:space="preserve">creator_marshland</t>
  </si>
  <si>
    <t xml:space="preserve">TCK-1091</t>
  </si>
  <si>
    <t xml:space="preserve">creator_nutmeghill</t>
  </si>
  <si>
    <t xml:space="preserve">TCK-1092</t>
  </si>
  <si>
    <t xml:space="preserve">creator_orchardgate</t>
  </si>
  <si>
    <t xml:space="preserve">TCK-1093</t>
  </si>
  <si>
    <t xml:space="preserve">creator_pussywillow</t>
  </si>
  <si>
    <t xml:space="preserve">TCK-1094</t>
  </si>
  <si>
    <t xml:space="preserve">creator_quietbrook</t>
  </si>
  <si>
    <t xml:space="preserve">TCK-1095</t>
  </si>
  <si>
    <t xml:space="preserve">creator_rookery</t>
  </si>
  <si>
    <t xml:space="preserve">TCK-1096</t>
  </si>
  <si>
    <t xml:space="preserve">creator_saltmarsh</t>
  </si>
  <si>
    <t xml:space="preserve">TCK-1097</t>
  </si>
  <si>
    <t xml:space="preserve">creator_thistledown</t>
  </si>
  <si>
    <t xml:space="preserve">TCK-1098</t>
  </si>
  <si>
    <t xml:space="preserve">creator_underwood</t>
  </si>
  <si>
    <t xml:space="preserve">TCK-1099</t>
  </si>
  <si>
    <t xml:space="preserve">creator_verdantglen</t>
  </si>
  <si>
    <t xml:space="preserve">TCK-1100</t>
  </si>
  <si>
    <t xml:space="preserve">creator_waxwing</t>
  </si>
  <si>
    <t xml:space="preserve">TCK-1101</t>
  </si>
  <si>
    <t xml:space="preserve">creator_xanthegold</t>
  </si>
  <si>
    <t xml:space="preserve">TCK-1102</t>
  </si>
  <si>
    <t xml:space="preserve">creator_yonderfield</t>
  </si>
  <si>
    <t xml:space="preserve">TCK-1103</t>
  </si>
  <si>
    <t xml:space="preserve">creator_zealouspeak</t>
  </si>
  <si>
    <t xml:space="preserve">TCK-1104</t>
  </si>
  <si>
    <t xml:space="preserve">creator_arborvale</t>
  </si>
  <si>
    <t xml:space="preserve">TCK-1105</t>
  </si>
  <si>
    <t xml:space="preserve">creator_bayberry</t>
  </si>
  <si>
    <t xml:space="preserve">TCK-1106</t>
  </si>
  <si>
    <t xml:space="preserve">creator_cinderpath</t>
  </si>
  <si>
    <t xml:space="preserve">TCK-1107</t>
  </si>
  <si>
    <t xml:space="preserve">creator_driftshore</t>
  </si>
  <si>
    <t xml:space="preserve">TCK-1108</t>
  </si>
  <si>
    <t xml:space="preserve">creator_elderflower</t>
  </si>
  <si>
    <t xml:space="preserve">TCK-1109</t>
  </si>
  <si>
    <t xml:space="preserve">creator_foampeak</t>
  </si>
  <si>
    <t xml:space="preserve">TCK-1110</t>
  </si>
  <si>
    <t xml:space="preserve">creator_grottoblue</t>
  </si>
  <si>
    <t xml:space="preserve">TCK-1111</t>
  </si>
  <si>
    <t xml:space="preserve">creator_hillcrest</t>
  </si>
  <si>
    <t xml:space="preserve">TCK-1112</t>
  </si>
  <si>
    <t xml:space="preserve">creator_inletcove</t>
  </si>
  <si>
    <t xml:space="preserve">TCK-1113</t>
  </si>
  <si>
    <t xml:space="preserve">creator_juniperhill</t>
  </si>
  <si>
    <t xml:space="preserve">TCK-1114</t>
  </si>
  <si>
    <t xml:space="preserve">creator_kestrelridge</t>
  </si>
  <si>
    <t xml:space="preserve">TCK-1115</t>
  </si>
  <si>
    <t xml:space="preserve">creator_lowtide</t>
  </si>
  <si>
    <t xml:space="preserve">TCK-1116</t>
  </si>
  <si>
    <t xml:space="preserve">creator_meadowlark</t>
  </si>
  <si>
    <t xml:space="preserve">TCK-1117</t>
  </si>
  <si>
    <t xml:space="preserve">creator_nightjar</t>
  </si>
  <si>
    <t xml:space="preserve">TCK-1118</t>
  </si>
  <si>
    <t xml:space="preserve">creator_overlook</t>
  </si>
  <si>
    <t xml:space="preserve">TCK-1119</t>
  </si>
  <si>
    <t xml:space="preserve">creator_palebeach</t>
  </si>
  <si>
    <t xml:space="preserve">TCK-1120</t>
  </si>
  <si>
    <t xml:space="preserve">creator_quaildale</t>
  </si>
  <si>
    <t xml:space="preserve">TCK-1121</t>
  </si>
  <si>
    <t xml:space="preserve">creator_ridgeback</t>
  </si>
  <si>
    <t xml:space="preserve">TCK-1122</t>
  </si>
  <si>
    <t xml:space="preserve">creator_sablecreek</t>
  </si>
  <si>
    <t xml:space="preserve">TCK-1123</t>
  </si>
  <si>
    <t xml:space="preserve">creator_tanglewood</t>
  </si>
  <si>
    <t xml:space="preserve">TCK-1124</t>
  </si>
  <si>
    <t xml:space="preserve">creator_uplandmoor</t>
  </si>
  <si>
    <t xml:space="preserve">TCK-1125</t>
  </si>
  <si>
    <t xml:space="preserve">creator_vesperbay</t>
  </si>
  <si>
    <t xml:space="preserve">TCK-1126</t>
  </si>
  <si>
    <t xml:space="preserve">creator_wrenfield</t>
  </si>
  <si>
    <t xml:space="preserve">TCK-1127</t>
  </si>
  <si>
    <t xml:space="preserve">creator_yarrowhill</t>
  </si>
  <si>
    <t xml:space="preserve">Open</t>
  </si>
  <si>
    <t xml:space="preserve">OPEN</t>
  </si>
  <si>
    <t xml:space="preserve">Still open at quarter end; minutes may grow. Kept as logged.</t>
  </si>
  <si>
    <t xml:space="preserve">TCK-1128</t>
  </si>
  <si>
    <t xml:space="preserve">creator_zinniadell</t>
  </si>
  <si>
    <t xml:space="preserve">TCK-1129</t>
  </si>
  <si>
    <t xml:space="preserve">creator_ashenmoor</t>
  </si>
  <si>
    <t xml:space="preserve">TCK-1130</t>
  </si>
  <si>
    <t xml:space="preserve">creator_blueheron</t>
  </si>
  <si>
    <t xml:space="preserve">TCK-1131</t>
  </si>
  <si>
    <t xml:space="preserve">creator_cliffside</t>
  </si>
  <si>
    <t xml:space="preserve">BACK-FILLED</t>
  </si>
  <si>
    <t xml:space="preserve">Dated 2026-01-10 but appended after the 2026-03-31 tickets — one of 10 rows (TCK-1131–1140, 235 min) added late. Not a duplicate: no earlier ticket from this creator. Kept.</t>
  </si>
  <si>
    <t xml:space="preserve">TCK-1132</t>
  </si>
  <si>
    <t xml:space="preserve">creator_dewpoint</t>
  </si>
  <si>
    <t xml:space="preserve">Dated 2026-01-23 but appended after the 2026-03-31 tickets — one of 10 rows (TCK-1131–1140, 235 min) added late. Not a duplicate: no earlier ticket from this creator. Kept.</t>
  </si>
  <si>
    <t xml:space="preserve">TCK-1133</t>
  </si>
  <si>
    <t xml:space="preserve">creator_eaglecrest</t>
  </si>
  <si>
    <t xml:space="preserve">Dated 2026-02-07 but appended after the 2026-03-31 tickets — one of 10 rows (TCK-1131–1140, 235 min) added late. Not a duplicate: no earlier ticket from this creator. Kept.</t>
  </si>
  <si>
    <t xml:space="preserve">TCK-1134</t>
  </si>
  <si>
    <t xml:space="preserve">creator_fogbank</t>
  </si>
  <si>
    <t xml:space="preserve">Dated 2026-02-20 but appended after the 2026-03-31 tickets — one of 10 rows (TCK-1131–1140, 235 min) added late. Not a duplicate: no earlier ticket from this creator. Kept.</t>
  </si>
  <si>
    <t xml:space="preserve">TCK-1135</t>
  </si>
  <si>
    <t xml:space="preserve">creator_glacierway</t>
  </si>
  <si>
    <t xml:space="preserve">Dated 2026-03-06 but appended after the 2026-03-31 tickets — one of 10 rows (TCK-1131–1140, 235 min) added late. Not a duplicate: no earlier ticket from this creator. Kept.</t>
  </si>
  <si>
    <t xml:space="preserve">TCK-1136</t>
  </si>
  <si>
    <t xml:space="preserve">creator_havenport</t>
  </si>
  <si>
    <t xml:space="preserve">Dated 2026-03-13 but appended after the 2026-03-31 tickets — one of 10 rows (TCK-1131–1140, 235 min) added late. Not a duplicate: no earlier ticket from this creator. Kept.</t>
  </si>
  <si>
    <t xml:space="preserve">TCK-1137</t>
  </si>
  <si>
    <t xml:space="preserve">creator_inglewood</t>
  </si>
  <si>
    <t xml:space="preserve">Dated 2026-01-17 but appended after the 2026-03-31 tickets — one of 10 rows (TCK-1131–1140, 235 min) added late. Not a duplicate: no earlier ticket from this creator. Kept.</t>
  </si>
  <si>
    <t xml:space="preserve">TCK-1138</t>
  </si>
  <si>
    <t xml:space="preserve">creator_jackpine</t>
  </si>
  <si>
    <t xml:space="preserve">Dated 2026-02-14 but appended after the 2026-03-31 tickets — one of 10 rows (TCK-1131–1140, 235 min) added late. Not a duplicate: no earlier ticket from this creator. Kept.</t>
  </si>
  <si>
    <t xml:space="preserve">TCK-1139</t>
  </si>
  <si>
    <t xml:space="preserve">creator_kindling</t>
  </si>
  <si>
    <t xml:space="preserve">Dated 2026-03-04 but appended after the 2026-03-31 tickets — one of 10 rows (TCK-1131–1140, 235 min) added late. Not a duplicate: no earlier ticket from this creator. Kept.</t>
  </si>
  <si>
    <t xml:space="preserve">TCK-1140</t>
  </si>
  <si>
    <t xml:space="preserve">creator_lavendermist</t>
  </si>
  <si>
    <t xml:space="preserve">Dated 2026-03-21 but appended after the 2026-03-31 tickets — one of 10 rows (TCK-1131–1140, 235 min) added late. Not a duplicate: no earlier ticket from this creator. Kept.</t>
  </si>
  <si>
    <t xml:space="preserve">Ticket totals by category, month and ISO week — all COUNTIFS/SUMIFS on 'Tickets (raw)'.</t>
  </si>
  <si>
    <t xml:space="preserve">Tickets</t>
  </si>
  <si>
    <t xml:space="preserve">Minutes</t>
  </si>
  <si>
    <t xml:space="preserve">Hours</t>
  </si>
  <si>
    <t xml:space="preserve">Share of time</t>
  </si>
  <si>
    <t xml:space="preserve">Avg min/ticket</t>
  </si>
  <si>
    <t xml:space="preserve">Total</t>
  </si>
  <si>
    <t xml:space="preserve">2026-01</t>
  </si>
  <si>
    <t xml:space="preserve">2026-02</t>
  </si>
  <si>
    <t xml:space="preserve">2026-03</t>
  </si>
  <si>
    <t xml:space="preserve">Thumbnail tickets</t>
  </si>
  <si>
    <t xml:space="preserve">Busiest week</t>
  </si>
  <si>
    <t xml:space="preserve">Every non-ticket input, quoted verbatim from its file and line. Column D holds the number the Summary uses.</t>
  </si>
  <si>
    <t xml:space="preserve">File</t>
  </si>
  <si>
    <t xml:space="preserve">Line</t>
  </si>
  <si>
    <t xml:space="preserve">Raw text (verbatim)</t>
  </si>
  <si>
    <t xml:space="preserve">Value used</t>
  </si>
  <si>
    <t xml:space="preserve">Used for</t>
  </si>
  <si>
    <t xml:space="preserve">pnl_q1_2026.csv</t>
  </si>
  <si>
    <t xml:space="preserve">Personnel,Salaries &amp; benefits (all teams),3120000,~300 FTE; loaded cost; see headcount_roster.csv</t>
  </si>
  <si>
    <t xml:space="preserve">headcount_roster.csv</t>
  </si>
  <si>
    <t xml:space="preserve">TOTAL,300</t>
  </si>
  <si>
    <t xml:space="preserve">slack_export.md</t>
  </si>
  <si>
    <t xml:space="preserve">Honestly support is drowning. It's easily 40 hrs/week on creator support between the thumbnail swaps, the tax forms, and general "where's my payout" questions. We need help here.</t>
  </si>
  <si>
    <t xml:space="preserve">Claimed support load, h/week (Liam, May 6)</t>
  </si>
  <si>
    <t xml:space="preserve">Sure, pull it. But it FEELS like a full-time person's worth, minimum.</t>
  </si>
  <si>
    <t xml:space="preserve">FTE requested ('a full-time person's worth')</t>
  </si>
  <si>
    <t xml:space="preserve">40 hrs/week is a lot — is that measured or a vibe? Before we ask for a hire I want the actual ticket data.</t>
  </si>
  <si>
    <t xml:space="preserve">People gates the hire on measured ticket data</t>
  </si>
  <si>
    <t xml:space="preserve">We log support tickets — happy to pull the Q1 numbers if it helps right-size this. I suspect the felt-volume is higher than the measured volume, that's usually how it goes.</t>
  </si>
  <si>
    <t xml:space="preserve">Data offers ticket numbers; expects felt &gt; measured</t>
  </si>
  <si>
    <t xml:space="preserve">Thumbnail swap request #47 this week. I'm not exaggerating about the volume. If we automated self-serve thumbnail replacement half my tickets would vanish.</t>
  </si>
  <si>
    <t xml:space="preserve">Thumbnail requests in one week, May 21 (stress test)</t>
  </si>
  <si>
    <t xml:space="preserve">Q3 planning prep: if you want any new headcount considered, get it to me with justification by end of month. Note Sales is on freeze so don't bother submitting Sales reqs until that lifts.</t>
  </si>
  <si>
    <t xml:space="preserve">Decision timing: Q3 headcount asks due end of June</t>
  </si>
  <si>
    <t xml:space="preserve">Analysis/automation/playbooks.json</t>
  </si>
  <si>
    <t xml:space="preserve">fallback_rate / Thumbnail residual_minutes</t>
  </si>
  <si>
    <t xml:space="preserve">Automation assumptions (not bundle data) — see Stress tests</t>
  </si>
  <si>
    <t xml:space="preserve">What I could NOT verify from the bundle — impact on the number and how to unblock.</t>
  </si>
  <si>
    <t xml:space="preserve">#</t>
  </si>
  <si>
    <t xml:space="preserve">Not verifiable</t>
  </si>
  <si>
    <t xml:space="preserve">Why it matters</t>
  </si>
  <si>
    <t xml:space="preserve">Direction if wrong</t>
  </si>
  <si>
    <t xml:space="preserve">Unblocker</t>
  </si>
  <si>
    <t xml:space="preserve">Q2 ticket volume</t>
  </si>
  <si>
    <t xml:space="preserve">Only Q1 tickets exist; the 40 h claim and '#47' are from May. Searched folder, repo and all Slack/notes — none.</t>
  </si>
  <si>
    <t xml:space="preserve">Value falls toward the manual worst case</t>
  </si>
  <si>
    <t xml:space="preserve">Ben Okoro (Data) — Q2 export, same columns (slack L185)</t>
  </si>
  <si>
    <t xml:space="preserve">A formal support req</t>
  </si>
  <si>
    <t xml:space="preserve">Roster open reqs (L21–L25) list none for Ops; the ask is only in Slack.</t>
  </si>
  <si>
    <t xml:space="preserve">Value is a decision avoided, not a budgeted cost</t>
  </si>
  <si>
    <t xml:space="preserve">Elena / Liam: was a req drafted for Q3?</t>
  </si>
  <si>
    <t xml:space="preserve">Off-ticket effort</t>
  </si>
  <si>
    <t xml:space="preserve">Chasing by email/DM wouldn't be in Handle_Minutes.</t>
  </si>
  <si>
    <t xml:space="preserve">Load higher than logged (stress-tested 2×, 3×)</t>
  </si>
  <si>
    <t xml:space="preserve">Ops time study for 2 weeks</t>
  </si>
  <si>
    <t xml:space="preserve">How Handle_Minutes is captured</t>
  </si>
  <si>
    <t xml:space="preserve">All 140 values are multiples of 5 (10–55) → likely estimates, not timers.</t>
  </si>
  <si>
    <t xml:space="preserve">Either direction</t>
  </si>
  <si>
    <t xml:space="preserve">Ask how the ticket tool records time</t>
  </si>
  <si>
    <t xml:space="preserve">Role-specific loaded cost</t>
  </si>
  <si>
    <t xml:space="preserve">Only the company average exists ($3.12M ÷ 300). P&amp;L says '~300 FTE', roster says 300.</t>
  </si>
  <si>
    <t xml:space="preserve">Dollar value moves; direction doesn't</t>
  </si>
  <si>
    <t xml:space="preserve">Finance: loaded cost for an ops coordinator</t>
  </si>
  <si>
    <t xml:space="preserve">Why 10 tickets were back-filled</t>
  </si>
  <si>
    <t xml:space="preserve">TCK-1131–1140 (235 min, 5.6% of minutes) are dated Jan–Mar but appended after Mar 31. Distinct creators, so not duplicates.</t>
  </si>
  <si>
    <t xml:space="preserve">If more late entries exist, Q1 load grows slightly</t>
  </si>
  <si>
    <t xml:space="preserve">Ask Ops when/why these were logged</t>
  </si>
  <si>
    <t xml:space="preserve">Non-creator support in the 40 h</t>
  </si>
  <si>
    <t xml:space="preserve">Ops may count work that isn't in the creator ticket log.</t>
  </si>
  <si>
    <t xml:space="preserve">Claim may be about a wider scope</t>
  </si>
  <si>
    <t xml:space="preserve">Ask Liam what the 40 h covers</t>
  </si>
  <si>
    <t xml:space="preserve">Value numbers considered and ranked lower — and why.</t>
  </si>
  <si>
    <t xml:space="preserve">Candidate</t>
  </si>
  <si>
    <t xml:space="preserve">Annual value</t>
  </si>
  <si>
    <t xml:space="preserve">Arithmetic</t>
  </si>
  <si>
    <t xml:space="preserve">Source</t>
  </si>
  <si>
    <t xml:space="preserve">Why ranked lower</t>
  </si>
  <si>
    <t xml:space="preserve">Support hire avoided (chosen)</t>
  </si>
  <si>
    <t xml:space="preserve">1 FTE × loaded cost per FTE</t>
  </si>
  <si>
    <t xml:space="preserve">Summary</t>
  </si>
  <si>
    <t xml:space="preserve">Every input is a raw row; informs a live decision.</t>
  </si>
  <si>
    <t xml:space="preserve">Amplitude duplicate closed</t>
  </si>
  <si>
    <t xml:space="preserve">$7,500 per quarter × 4</t>
  </si>
  <si>
    <t xml:space="preserve">pnl_q1_2026.csv L12–L13; slack L147–L153</t>
  </si>
  <si>
    <t xml:space="preserve">Can't tell a cash leak from a booking error without the invoice.</t>
  </si>
  <si>
    <t xml:space="preserve">Brand-deal recon time saved</t>
  </si>
  <si>
    <t xml:space="preserve">3 days × 12 months × 8 h × loaded $/h</t>
  </si>
  <si>
    <t xml:space="preserve">slack L108, L158; finance_review L11</t>
  </si>
  <si>
    <t xml:space="preserve">Self-reported time; the 3 source exports aren't in the bundle.</t>
  </si>
  <si>
    <t xml:space="preserve">Support automation hours saved</t>
  </si>
  <si>
    <t xml:space="preserve">29.9 h/qtr saved (modelled) × 4 × loaded $/h</t>
  </si>
  <si>
    <t xml:space="preserve">output/autopilot/report.md</t>
  </si>
  <si>
    <t xml:space="preserve">Modelled, and small. Its job is to keep the hire unnecessary.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</si>
</sst>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;&quot;($&quot;#,##0\);\-"/>
    <numFmt numFmtId="167" formatCode="#,##0.0"/>
    <numFmt numFmtId="168" formatCode="#,##0.00"/>
    <numFmt numFmtId="169" formatCode="0.0\×"/>
    <numFmt numFmtId="170" formatCode="\$#,##0.00"/>
    <numFmt numFmtId="171" formatCode="0.0%"/>
    <numFmt numFmtId="172" formatCode="yyyy\-mm\-dd"/>
    <numFmt numFmtId="173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9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f aca="false">Sources!$D$5</f>
        <v>40</v>
      </c>
      <c r="C5" s="7" t="s">
        <v>4</v>
      </c>
    </row>
    <row r="6" customFormat="false" ht="15" hidden="false" customHeight="false" outlineLevel="0" collapsed="false">
      <c r="A6" s="5" t="s">
        <v>5</v>
      </c>
      <c r="B6" s="6" t="n">
        <f aca="false">Sources!$D$6</f>
        <v>1</v>
      </c>
      <c r="C6" s="7" t="s">
        <v>6</v>
      </c>
    </row>
    <row r="7" customFormat="false" ht="15" hidden="false" customHeight="false" outlineLevel="0" collapsed="false">
      <c r="A7" s="5" t="s">
        <v>7</v>
      </c>
      <c r="B7" s="8" t="n">
        <v>13</v>
      </c>
      <c r="C7" s="7" t="s">
        <v>8</v>
      </c>
    </row>
    <row r="8" customFormat="false" ht="15" hidden="false" customHeight="false" outlineLevel="0" collapsed="false">
      <c r="A8" s="5" t="s">
        <v>9</v>
      </c>
      <c r="B8" s="8" t="n">
        <v>40</v>
      </c>
      <c r="C8" s="7" t="s">
        <v>10</v>
      </c>
    </row>
    <row r="9" customFormat="false" ht="15" hidden="false" customHeight="false" outlineLevel="0" collapsed="false">
      <c r="A9" s="5" t="s">
        <v>11</v>
      </c>
      <c r="B9" s="9" t="n">
        <f aca="false">Sources!$D$3</f>
        <v>3120000</v>
      </c>
      <c r="C9" s="7" t="s">
        <v>12</v>
      </c>
    </row>
    <row r="10" customFormat="false" ht="15" hidden="false" customHeight="false" outlineLevel="0" collapsed="false">
      <c r="A10" s="5" t="s">
        <v>13</v>
      </c>
      <c r="B10" s="6" t="n">
        <f aca="false">Sources!$D$4</f>
        <v>300</v>
      </c>
      <c r="C10" s="7" t="s">
        <v>14</v>
      </c>
    </row>
    <row r="11" customFormat="false" ht="15" hidden="false" customHeight="false" outlineLevel="0" collapsed="false">
      <c r="A11" s="5" t="s">
        <v>15</v>
      </c>
      <c r="B11" s="8" t="n">
        <v>0</v>
      </c>
      <c r="C11" s="7" t="s">
        <v>16</v>
      </c>
    </row>
    <row r="13" customFormat="false" ht="15" hidden="false" customHeight="false" outlineLevel="0" collapsed="false">
      <c r="A13" s="3" t="s">
        <v>17</v>
      </c>
      <c r="B13" s="4"/>
      <c r="C13" s="4"/>
    </row>
    <row r="14" customFormat="false" ht="15" hidden="false" customHeight="false" outlineLevel="0" collapsed="false">
      <c r="A14" s="5" t="s">
        <v>18</v>
      </c>
      <c r="B14" s="10" t="n">
        <f aca="false">COUNTA('Tickets (raw)'!$B$3:$B$142)</f>
        <v>140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10" t="n">
        <f aca="false">SUM('Tickets (raw)'!$G$3:$G$142)</f>
        <v>4230</v>
      </c>
      <c r="C15" s="7" t="s">
        <v>21</v>
      </c>
    </row>
    <row r="16" customFormat="false" ht="15" hidden="false" customHeight="false" outlineLevel="0" collapsed="false">
      <c r="A16" s="5" t="s">
        <v>22</v>
      </c>
      <c r="B16" s="11" t="n">
        <f aca="false">B15/60</f>
        <v>70.5</v>
      </c>
      <c r="C16" s="7"/>
    </row>
    <row r="17" customFormat="false" ht="15" hidden="false" customHeight="false" outlineLevel="0" collapsed="false">
      <c r="A17" s="5" t="s">
        <v>23</v>
      </c>
      <c r="B17" s="12" t="n">
        <f aca="false">B16/B7</f>
        <v>5.42307692307692</v>
      </c>
      <c r="C17" s="7"/>
    </row>
    <row r="18" customFormat="false" ht="15" hidden="false" customHeight="false" outlineLevel="0" collapsed="false">
      <c r="A18" s="5" t="s">
        <v>24</v>
      </c>
      <c r="B18" s="12" t="n">
        <f aca="false">B17/B8</f>
        <v>0.135576923076923</v>
      </c>
      <c r="C18" s="7"/>
    </row>
    <row r="19" customFormat="false" ht="15" hidden="false" customHeight="false" outlineLevel="0" collapsed="false">
      <c r="A19" s="5" t="s">
        <v>25</v>
      </c>
      <c r="B19" s="13" t="n">
        <f aca="false">B5/B17</f>
        <v>7.3758865248227</v>
      </c>
      <c r="C19" s="7" t="s">
        <v>26</v>
      </c>
    </row>
    <row r="21" customFormat="false" ht="15" hidden="false" customHeight="false" outlineLevel="0" collapsed="false">
      <c r="A21" s="3" t="s">
        <v>27</v>
      </c>
      <c r="B21" s="4"/>
      <c r="C21" s="4"/>
    </row>
    <row r="22" customFormat="false" ht="15" hidden="false" customHeight="false" outlineLevel="0" collapsed="false">
      <c r="A22" s="5" t="s">
        <v>28</v>
      </c>
      <c r="B22" s="14" t="n">
        <f aca="false">B9/B10</f>
        <v>10400</v>
      </c>
      <c r="C22" s="7"/>
    </row>
    <row r="23" customFormat="false" ht="15" hidden="false" customHeight="false" outlineLevel="0" collapsed="false">
      <c r="A23" s="5" t="s">
        <v>29</v>
      </c>
      <c r="B23" s="14" t="n">
        <f aca="false">B22*4</f>
        <v>41600</v>
      </c>
      <c r="C23" s="7"/>
    </row>
    <row r="24" customFormat="false" ht="15" hidden="false" customHeight="false" outlineLevel="0" collapsed="false">
      <c r="A24" s="5" t="s">
        <v>30</v>
      </c>
      <c r="B24" s="15" t="n">
        <f aca="false">B23/(52*B8)</f>
        <v>20</v>
      </c>
      <c r="C24" s="7"/>
    </row>
    <row r="26" customFormat="false" ht="15" hidden="false" customHeight="false" outlineLevel="0" collapsed="false">
      <c r="A26" s="3" t="s">
        <v>31</v>
      </c>
      <c r="B26" s="4"/>
      <c r="C26" s="4"/>
    </row>
    <row r="27" customFormat="false" ht="15" hidden="false" customHeight="false" outlineLevel="0" collapsed="false">
      <c r="A27" s="5" t="s">
        <v>32</v>
      </c>
      <c r="B27" s="16" t="n">
        <f aca="false">(B6-B11)*B23</f>
        <v>41600</v>
      </c>
      <c r="C27" s="7" t="s">
        <v>33</v>
      </c>
    </row>
    <row r="28" customFormat="false" ht="15" hidden="false" customHeight="false" outlineLevel="0" collapsed="false">
      <c r="A28" s="5" t="s">
        <v>34</v>
      </c>
      <c r="B28" s="17" t="s">
        <v>35</v>
      </c>
      <c r="C28" s="7" t="s">
        <v>36</v>
      </c>
    </row>
    <row r="30" customFormat="false" ht="15" hidden="false" customHeight="false" outlineLevel="0" collapsed="false">
      <c r="A30" s="3" t="s">
        <v>37</v>
      </c>
      <c r="B30" s="4"/>
      <c r="C30" s="4"/>
    </row>
    <row r="31" customFormat="false" ht="15" hidden="false" customHeight="false" outlineLevel="0" collapsed="false">
      <c r="A31" s="5" t="s">
        <v>38</v>
      </c>
      <c r="B31" s="18" t="n">
        <f aca="false">'Stress tests'!B21</f>
        <v>0.516132478632479</v>
      </c>
      <c r="C31" s="7"/>
    </row>
    <row r="32" customFormat="false" ht="15" hidden="false" customHeight="false" outlineLevel="0" collapsed="false">
      <c r="A32" s="5" t="s">
        <v>39</v>
      </c>
      <c r="B32" s="19" t="n">
        <f aca="false">MAX(0,B6-B31)*B23</f>
        <v>20128.8888888889</v>
      </c>
      <c r="C32" s="7" t="s">
        <v>40</v>
      </c>
    </row>
    <row r="33" customFormat="false" ht="23.85" hidden="false" customHeight="false" outlineLevel="0" collapsed="false">
      <c r="A33" s="5" t="s">
        <v>41</v>
      </c>
      <c r="B33" s="18" t="n">
        <f aca="false">'Stress tests'!B23</f>
        <v>0.255021367521368</v>
      </c>
      <c r="C33" s="7" t="s">
        <v>42</v>
      </c>
    </row>
    <row r="34" customFormat="false" ht="15" hidden="false" customHeight="false" outlineLevel="0" collapsed="false">
      <c r="A34" s="5" t="s">
        <v>43</v>
      </c>
      <c r="B34" s="19" t="n">
        <f aca="false">MAX(0,B6-B33)*B23</f>
        <v>30991.1111111111</v>
      </c>
      <c r="C34" s="7"/>
    </row>
    <row r="36" customFormat="false" ht="15" hidden="false" customHeight="false" outlineLevel="0" collapsed="false">
      <c r="A36" s="17" t="str">
        <f aca="false">"Answer: "&amp;TEXT(B27,"$#,##0")&amp;" per year — support hire avoided. Measured load "&amp;TEXT(B17,"0.0")&amp;" h/week ("&amp;TEXT(B18,"0.00")&amp;" FTE) vs "&amp;B5&amp;" h/week claimed. Range "&amp;TEXT(B32,"$#,##0")&amp;" – "&amp;TEXT(B27,"$#,##0")&amp;"."</f>
        <v>Answer: $41,600 per year — support hire avoided. Measured load 5.4 h/week (0.14 FTE) vs 40 h/week claimed. Range $20,129 – $41,600.</v>
      </c>
    </row>
    <row r="38" customFormat="false" ht="15" hidden="false" customHeight="false" outlineLevel="0" collapsed="false">
      <c r="A38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3" t="s">
        <v>46</v>
      </c>
      <c r="B3" s="4"/>
      <c r="C3" s="4"/>
    </row>
    <row r="4" customFormat="false" ht="15" hidden="false" customHeight="false" outlineLevel="0" collapsed="false">
      <c r="A4" s="5" t="s">
        <v>47</v>
      </c>
      <c r="B4" s="12" t="n">
        <f aca="false">Summary!B17*2/Summary!B8</f>
        <v>0.271153846153846</v>
      </c>
      <c r="C4" s="7" t="s">
        <v>48</v>
      </c>
    </row>
    <row r="5" customFormat="false" ht="15" hidden="false" customHeight="false" outlineLevel="0" collapsed="false">
      <c r="A5" s="5" t="s">
        <v>49</v>
      </c>
      <c r="B5" s="12" t="n">
        <f aca="false">Summary!B17*3/Summary!B8</f>
        <v>0.406730769230769</v>
      </c>
      <c r="C5" s="7" t="s">
        <v>48</v>
      </c>
    </row>
    <row r="6" customFormat="false" ht="15" hidden="false" customHeight="false" outlineLevel="0" collapsed="false">
      <c r="A6" s="5" t="s">
        <v>50</v>
      </c>
      <c r="B6" s="20" t="n">
        <f aca="false">Summary!B17/Summary!B5</f>
        <v>0.135576923076923</v>
      </c>
      <c r="C6" s="7" t="s">
        <v>51</v>
      </c>
    </row>
    <row r="8" customFormat="false" ht="15" hidden="false" customHeight="false" outlineLevel="0" collapsed="false">
      <c r="A8" s="3" t="s">
        <v>52</v>
      </c>
      <c r="B8" s="4"/>
      <c r="C8" s="4"/>
    </row>
    <row r="9" customFormat="false" ht="23.85" hidden="false" customHeight="false" outlineLevel="0" collapsed="false">
      <c r="A9" s="5" t="s">
        <v>53</v>
      </c>
      <c r="B9" s="21" t="n">
        <f aca="false">Breakdown!E4</f>
        <v>0.367612293144208</v>
      </c>
      <c r="C9" s="7" t="s">
        <v>54</v>
      </c>
    </row>
    <row r="10" customFormat="false" ht="15" hidden="false" customHeight="false" outlineLevel="0" collapsed="false">
      <c r="A10" s="5" t="s">
        <v>55</v>
      </c>
      <c r="B10" s="22" t="n">
        <f aca="false">Breakdown!D14</f>
        <v>24.0833333333333</v>
      </c>
      <c r="C10" s="7"/>
    </row>
    <row r="11" customFormat="false" ht="15" hidden="false" customHeight="false" outlineLevel="0" collapsed="false">
      <c r="A11" s="5" t="s">
        <v>56</v>
      </c>
      <c r="B11" s="22" t="n">
        <f aca="false">Breakdown!D16</f>
        <v>24.6666666666667</v>
      </c>
      <c r="C11" s="7"/>
    </row>
    <row r="12" customFormat="false" ht="15" hidden="false" customHeight="false" outlineLevel="0" collapsed="false">
      <c r="A12" s="5" t="s">
        <v>57</v>
      </c>
      <c r="B12" s="23" t="n">
        <f aca="false">B11/B10-1</f>
        <v>0.0242214532871974</v>
      </c>
      <c r="C12" s="7" t="s">
        <v>58</v>
      </c>
    </row>
    <row r="13" customFormat="false" ht="15" hidden="false" customHeight="false" outlineLevel="0" collapsed="false">
      <c r="A13" s="5" t="s">
        <v>59</v>
      </c>
      <c r="B13" s="12" t="n">
        <f aca="false">Summary!B18*2</f>
        <v>0.271153846153846</v>
      </c>
      <c r="C13" s="7" t="s">
        <v>60</v>
      </c>
    </row>
    <row r="15" customFormat="false" ht="15" hidden="false" customHeight="false" outlineLevel="0" collapsed="false">
      <c r="A15" s="3" t="s">
        <v>61</v>
      </c>
      <c r="B15" s="4"/>
      <c r="C15" s="4"/>
    </row>
    <row r="16" customFormat="false" ht="15" hidden="false" customHeight="false" outlineLevel="0" collapsed="false">
      <c r="A16" s="5" t="s">
        <v>62</v>
      </c>
      <c r="B16" s="6" t="n">
        <f aca="false">Sources!$D$9</f>
        <v>47</v>
      </c>
      <c r="C16" s="7" t="s">
        <v>63</v>
      </c>
    </row>
    <row r="17" customFormat="false" ht="15" hidden="false" customHeight="false" outlineLevel="0" collapsed="false">
      <c r="A17" s="5" t="s">
        <v>64</v>
      </c>
      <c r="B17" s="22" t="n">
        <f aca="false">Breakdown!B5/Summary!B7</f>
        <v>4.84615384615385</v>
      </c>
      <c r="C17" s="7"/>
    </row>
    <row r="18" customFormat="false" ht="15" hidden="false" customHeight="false" outlineLevel="0" collapsed="false">
      <c r="A18" s="5" t="s">
        <v>65</v>
      </c>
      <c r="B18" s="6" t="n">
        <f aca="false">Breakdown!$B$34</f>
        <v>6</v>
      </c>
      <c r="C18" s="7" t="s">
        <v>66</v>
      </c>
      <c r="D18" s="13" t="n">
        <f aca="false">B16/B18</f>
        <v>7.83333333333333</v>
      </c>
    </row>
    <row r="19" customFormat="false" ht="15" hidden="false" customHeight="false" outlineLevel="0" collapsed="false">
      <c r="A19" s="5" t="s">
        <v>67</v>
      </c>
      <c r="B19" s="22" t="n">
        <f aca="false">Breakdown!F5</f>
        <v>21.6666666666667</v>
      </c>
      <c r="C19" s="7"/>
    </row>
    <row r="20" customFormat="false" ht="15" hidden="false" customHeight="false" outlineLevel="0" collapsed="false">
      <c r="A20" s="5" t="s">
        <v>68</v>
      </c>
      <c r="B20" s="12" t="n">
        <f aca="false">(Summary!B15-Breakdown!C5)/60/Summary!B7</f>
        <v>3.67307692307692</v>
      </c>
      <c r="C20" s="7"/>
    </row>
    <row r="21" customFormat="false" ht="15" hidden="false" customHeight="false" outlineLevel="0" collapsed="false">
      <c r="A21" s="5" t="s">
        <v>38</v>
      </c>
      <c r="B21" s="24" t="n">
        <f aca="false">(B16*B19/60+B20)/Summary!B8</f>
        <v>0.516132478632479</v>
      </c>
      <c r="C21" s="7" t="s">
        <v>69</v>
      </c>
    </row>
    <row r="22" customFormat="false" ht="15" hidden="false" customHeight="false" outlineLevel="0" collapsed="false">
      <c r="A22" s="5" t="s">
        <v>70</v>
      </c>
      <c r="B22" s="25" t="n">
        <v>0.2</v>
      </c>
      <c r="C22" s="7" t="s">
        <v>71</v>
      </c>
    </row>
    <row r="23" customFormat="false" ht="15" hidden="false" customHeight="false" outlineLevel="0" collapsed="false">
      <c r="A23" s="5" t="s">
        <v>72</v>
      </c>
      <c r="B23" s="24" t="n">
        <f aca="false">(B16*((1-B22)*B24+B22*B19)/60+B20)/Summary!B8</f>
        <v>0.255021367521368</v>
      </c>
      <c r="C23" s="7" t="s">
        <v>73</v>
      </c>
    </row>
    <row r="24" customFormat="false" ht="15" hidden="false" customHeight="false" outlineLevel="0" collapsed="false">
      <c r="A24" s="5" t="s">
        <v>74</v>
      </c>
      <c r="B24" s="8" t="n">
        <v>5</v>
      </c>
      <c r="C24" s="7" t="s">
        <v>75</v>
      </c>
    </row>
    <row r="26" customFormat="false" ht="30" hidden="false" customHeight="true" outlineLevel="0" collapsed="false">
      <c r="A26" s="26" t="s">
        <v>76</v>
      </c>
      <c r="B26" s="26"/>
      <c r="C26" s="26"/>
    </row>
  </sheetData>
  <mergeCells count="1"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60"/>
  </cols>
  <sheetData>
    <row r="1" customFormat="false" ht="15" hidden="false" customHeight="false" outlineLevel="0" collapsed="false">
      <c r="A1" s="17" t="s">
        <v>77</v>
      </c>
    </row>
    <row r="2" customFormat="false" ht="26.85" hidden="false" customHeight="false" outlineLevel="0" collapsed="false">
      <c r="A2" s="27" t="s">
        <v>78</v>
      </c>
      <c r="B2" s="27" t="s">
        <v>79</v>
      </c>
      <c r="C2" s="27" t="s">
        <v>80</v>
      </c>
      <c r="D2" s="27" t="s">
        <v>81</v>
      </c>
      <c r="E2" s="27" t="s">
        <v>82</v>
      </c>
      <c r="F2" s="27" t="s">
        <v>83</v>
      </c>
      <c r="G2" s="27" t="s">
        <v>84</v>
      </c>
      <c r="H2" s="27" t="s">
        <v>85</v>
      </c>
      <c r="I2" s="27" t="s">
        <v>86</v>
      </c>
      <c r="J2" s="27" t="s">
        <v>87</v>
      </c>
      <c r="K2" s="27" t="s">
        <v>88</v>
      </c>
      <c r="L2" s="27" t="s">
        <v>89</v>
      </c>
    </row>
    <row r="3" customFormat="false" ht="15" hidden="false" customHeight="false" outlineLevel="0" collapsed="false">
      <c r="A3" s="28" t="n">
        <v>2</v>
      </c>
      <c r="B3" s="28" t="s">
        <v>90</v>
      </c>
      <c r="C3" s="29" t="n">
        <v>46024</v>
      </c>
      <c r="D3" s="28" t="s">
        <v>91</v>
      </c>
      <c r="E3" s="28" t="s">
        <v>92</v>
      </c>
      <c r="F3" s="28" t="s">
        <v>93</v>
      </c>
      <c r="G3" s="28" t="n">
        <v>25</v>
      </c>
      <c r="H3" s="28" t="s">
        <v>94</v>
      </c>
      <c r="I3" s="28" t="str">
        <f aca="false">TEXT(C3,"yyyy-mm")</f>
        <v>2026-01</v>
      </c>
      <c r="J3" s="28" t="n">
        <f aca="false">WEEKNUM(C3,21)</f>
        <v>1</v>
      </c>
    </row>
    <row r="4" customFormat="false" ht="15" hidden="false" customHeight="false" outlineLevel="0" collapsed="false">
      <c r="A4" s="28" t="n">
        <v>3</v>
      </c>
      <c r="B4" s="28" t="s">
        <v>95</v>
      </c>
      <c r="C4" s="29" t="n">
        <v>46024</v>
      </c>
      <c r="D4" s="28" t="s">
        <v>96</v>
      </c>
      <c r="E4" s="28" t="s">
        <v>97</v>
      </c>
      <c r="F4" s="28" t="s">
        <v>93</v>
      </c>
      <c r="G4" s="28" t="n">
        <v>50</v>
      </c>
      <c r="H4" s="28" t="s">
        <v>94</v>
      </c>
      <c r="I4" s="28" t="str">
        <f aca="false">TEXT(C4,"yyyy-mm")</f>
        <v>2026-01</v>
      </c>
      <c r="J4" s="28" t="n">
        <f aca="false">WEEKNUM(C4,21)</f>
        <v>1</v>
      </c>
    </row>
    <row r="5" customFormat="false" ht="15" hidden="false" customHeight="false" outlineLevel="0" collapsed="false">
      <c r="A5" s="28" t="n">
        <v>4</v>
      </c>
      <c r="B5" s="28" t="s">
        <v>98</v>
      </c>
      <c r="C5" s="29" t="n">
        <v>46025</v>
      </c>
      <c r="D5" s="28" t="s">
        <v>99</v>
      </c>
      <c r="E5" s="28" t="s">
        <v>100</v>
      </c>
      <c r="F5" s="28" t="s">
        <v>93</v>
      </c>
      <c r="G5" s="28" t="n">
        <v>15</v>
      </c>
      <c r="H5" s="28" t="s">
        <v>94</v>
      </c>
      <c r="I5" s="28" t="str">
        <f aca="false">TEXT(C5,"yyyy-mm")</f>
        <v>2026-01</v>
      </c>
      <c r="J5" s="28" t="n">
        <f aca="false">WEEKNUM(C5,21)</f>
        <v>1</v>
      </c>
    </row>
    <row r="6" customFormat="false" ht="15" hidden="false" customHeight="false" outlineLevel="0" collapsed="false">
      <c r="A6" s="28" t="n">
        <v>5</v>
      </c>
      <c r="B6" s="28" t="s">
        <v>101</v>
      </c>
      <c r="C6" s="29" t="n">
        <v>46025</v>
      </c>
      <c r="D6" s="28" t="s">
        <v>91</v>
      </c>
      <c r="E6" s="28" t="s">
        <v>102</v>
      </c>
      <c r="F6" s="28" t="s">
        <v>93</v>
      </c>
      <c r="G6" s="28" t="n">
        <v>20</v>
      </c>
      <c r="H6" s="28" t="s">
        <v>94</v>
      </c>
      <c r="I6" s="28" t="str">
        <f aca="false">TEXT(C6,"yyyy-mm")</f>
        <v>2026-01</v>
      </c>
      <c r="J6" s="28" t="n">
        <f aca="false">WEEKNUM(C6,21)</f>
        <v>1</v>
      </c>
    </row>
    <row r="7" customFormat="false" ht="15" hidden="false" customHeight="false" outlineLevel="0" collapsed="false">
      <c r="A7" s="28" t="n">
        <v>6</v>
      </c>
      <c r="B7" s="28" t="s">
        <v>103</v>
      </c>
      <c r="C7" s="29" t="n">
        <v>46027</v>
      </c>
      <c r="D7" s="28" t="s">
        <v>104</v>
      </c>
      <c r="E7" s="28" t="s">
        <v>105</v>
      </c>
      <c r="F7" s="28" t="s">
        <v>93</v>
      </c>
      <c r="G7" s="28" t="n">
        <v>55</v>
      </c>
      <c r="H7" s="28" t="s">
        <v>94</v>
      </c>
      <c r="I7" s="28" t="str">
        <f aca="false">TEXT(C7,"yyyy-mm")</f>
        <v>2026-01</v>
      </c>
      <c r="J7" s="28" t="n">
        <f aca="false">WEEKNUM(C7,21)</f>
        <v>2</v>
      </c>
    </row>
    <row r="8" customFormat="false" ht="15" hidden="false" customHeight="false" outlineLevel="0" collapsed="false">
      <c r="A8" s="28" t="n">
        <v>7</v>
      </c>
      <c r="B8" s="28" t="s">
        <v>106</v>
      </c>
      <c r="C8" s="29" t="n">
        <v>46027</v>
      </c>
      <c r="D8" s="28" t="s">
        <v>96</v>
      </c>
      <c r="E8" s="28" t="s">
        <v>107</v>
      </c>
      <c r="F8" s="28" t="s">
        <v>93</v>
      </c>
      <c r="G8" s="28" t="n">
        <v>45</v>
      </c>
      <c r="H8" s="28" t="s">
        <v>94</v>
      </c>
      <c r="I8" s="28" t="str">
        <f aca="false">TEXT(C8,"yyyy-mm")</f>
        <v>2026-01</v>
      </c>
      <c r="J8" s="28" t="n">
        <f aca="false">WEEKNUM(C8,21)</f>
        <v>2</v>
      </c>
    </row>
    <row r="9" customFormat="false" ht="15" hidden="false" customHeight="false" outlineLevel="0" collapsed="false">
      <c r="A9" s="28" t="n">
        <v>8</v>
      </c>
      <c r="B9" s="28" t="s">
        <v>108</v>
      </c>
      <c r="C9" s="29" t="n">
        <v>46028</v>
      </c>
      <c r="D9" s="28" t="s">
        <v>91</v>
      </c>
      <c r="E9" s="28" t="s">
        <v>109</v>
      </c>
      <c r="F9" s="28" t="s">
        <v>93</v>
      </c>
      <c r="G9" s="28" t="n">
        <v>25</v>
      </c>
      <c r="H9" s="28" t="s">
        <v>94</v>
      </c>
      <c r="I9" s="28" t="str">
        <f aca="false">TEXT(C9,"yyyy-mm")</f>
        <v>2026-01</v>
      </c>
      <c r="J9" s="28" t="n">
        <f aca="false">WEEKNUM(C9,21)</f>
        <v>2</v>
      </c>
    </row>
    <row r="10" customFormat="false" ht="15" hidden="false" customHeight="false" outlineLevel="0" collapsed="false">
      <c r="A10" s="28" t="n">
        <v>9</v>
      </c>
      <c r="B10" s="28" t="s">
        <v>110</v>
      </c>
      <c r="C10" s="29" t="n">
        <v>46028</v>
      </c>
      <c r="D10" s="28" t="s">
        <v>91</v>
      </c>
      <c r="E10" s="28" t="s">
        <v>111</v>
      </c>
      <c r="F10" s="28" t="s">
        <v>93</v>
      </c>
      <c r="G10" s="28" t="n">
        <v>20</v>
      </c>
      <c r="H10" s="28" t="s">
        <v>94</v>
      </c>
      <c r="I10" s="28" t="str">
        <f aca="false">TEXT(C10,"yyyy-mm")</f>
        <v>2026-01</v>
      </c>
      <c r="J10" s="28" t="n">
        <f aca="false">WEEKNUM(C10,21)</f>
        <v>2</v>
      </c>
    </row>
    <row r="11" customFormat="false" ht="15" hidden="false" customHeight="false" outlineLevel="0" collapsed="false">
      <c r="A11" s="28" t="n">
        <v>10</v>
      </c>
      <c r="B11" s="28" t="s">
        <v>112</v>
      </c>
      <c r="C11" s="29" t="n">
        <v>46029</v>
      </c>
      <c r="D11" s="28" t="s">
        <v>96</v>
      </c>
      <c r="E11" s="28" t="s">
        <v>113</v>
      </c>
      <c r="F11" s="28" t="s">
        <v>93</v>
      </c>
      <c r="G11" s="28" t="n">
        <v>45</v>
      </c>
      <c r="H11" s="28" t="s">
        <v>94</v>
      </c>
      <c r="I11" s="28" t="str">
        <f aca="false">TEXT(C11,"yyyy-mm")</f>
        <v>2026-01</v>
      </c>
      <c r="J11" s="28" t="n">
        <f aca="false">WEEKNUM(C11,21)</f>
        <v>2</v>
      </c>
    </row>
    <row r="12" customFormat="false" ht="15" hidden="false" customHeight="false" outlineLevel="0" collapsed="false">
      <c r="A12" s="28" t="n">
        <v>11</v>
      </c>
      <c r="B12" s="28" t="s">
        <v>114</v>
      </c>
      <c r="C12" s="29" t="n">
        <v>46029</v>
      </c>
      <c r="D12" s="28" t="s">
        <v>99</v>
      </c>
      <c r="E12" s="28" t="s">
        <v>115</v>
      </c>
      <c r="F12" s="28" t="s">
        <v>93</v>
      </c>
      <c r="G12" s="28" t="n">
        <v>10</v>
      </c>
      <c r="H12" s="28" t="s">
        <v>94</v>
      </c>
      <c r="I12" s="28" t="str">
        <f aca="false">TEXT(C12,"yyyy-mm")</f>
        <v>2026-01</v>
      </c>
      <c r="J12" s="28" t="n">
        <f aca="false">WEEKNUM(C12,21)</f>
        <v>2</v>
      </c>
    </row>
    <row r="13" customFormat="false" ht="15" hidden="false" customHeight="false" outlineLevel="0" collapsed="false">
      <c r="A13" s="28" t="n">
        <v>12</v>
      </c>
      <c r="B13" s="28" t="s">
        <v>116</v>
      </c>
      <c r="C13" s="29" t="n">
        <v>46030</v>
      </c>
      <c r="D13" s="28" t="s">
        <v>91</v>
      </c>
      <c r="E13" s="28" t="s">
        <v>117</v>
      </c>
      <c r="F13" s="28" t="s">
        <v>93</v>
      </c>
      <c r="G13" s="28" t="n">
        <v>25</v>
      </c>
      <c r="H13" s="28" t="s">
        <v>94</v>
      </c>
      <c r="I13" s="28" t="str">
        <f aca="false">TEXT(C13,"yyyy-mm")</f>
        <v>2026-01</v>
      </c>
      <c r="J13" s="28" t="n">
        <f aca="false">WEEKNUM(C13,21)</f>
        <v>2</v>
      </c>
    </row>
    <row r="14" customFormat="false" ht="15" hidden="false" customHeight="false" outlineLevel="0" collapsed="false">
      <c r="A14" s="28" t="n">
        <v>13</v>
      </c>
      <c r="B14" s="28" t="s">
        <v>118</v>
      </c>
      <c r="C14" s="29" t="n">
        <v>46030</v>
      </c>
      <c r="D14" s="28" t="s">
        <v>104</v>
      </c>
      <c r="E14" s="28" t="s">
        <v>119</v>
      </c>
      <c r="F14" s="28" t="s">
        <v>93</v>
      </c>
      <c r="G14" s="28" t="n">
        <v>50</v>
      </c>
      <c r="H14" s="28" t="s">
        <v>94</v>
      </c>
      <c r="I14" s="28" t="str">
        <f aca="false">TEXT(C14,"yyyy-mm")</f>
        <v>2026-01</v>
      </c>
      <c r="J14" s="28" t="n">
        <f aca="false">WEEKNUM(C14,21)</f>
        <v>2</v>
      </c>
    </row>
    <row r="15" customFormat="false" ht="15" hidden="false" customHeight="false" outlineLevel="0" collapsed="false">
      <c r="A15" s="28" t="n">
        <v>14</v>
      </c>
      <c r="B15" s="30" t="s">
        <v>120</v>
      </c>
      <c r="C15" s="29" t="n">
        <v>46031</v>
      </c>
      <c r="D15" s="28" t="s">
        <v>96</v>
      </c>
      <c r="E15" s="28" t="s">
        <v>121</v>
      </c>
      <c r="F15" s="28"/>
      <c r="G15" s="28" t="n">
        <v>45</v>
      </c>
      <c r="H15" s="28" t="s">
        <v>94</v>
      </c>
      <c r="I15" s="28" t="str">
        <f aca="false">TEXT(C15,"yyyy-mm")</f>
        <v>2026-01</v>
      </c>
      <c r="J15" s="28" t="n">
        <f aca="false">WEEKNUM(C15,21)</f>
        <v>2</v>
      </c>
      <c r="K15" s="31" t="s">
        <v>122</v>
      </c>
      <c r="L15" s="5" t="s">
        <v>123</v>
      </c>
    </row>
    <row r="16" customFormat="false" ht="15" hidden="false" customHeight="false" outlineLevel="0" collapsed="false">
      <c r="A16" s="28" t="n">
        <v>15</v>
      </c>
      <c r="B16" s="28" t="s">
        <v>124</v>
      </c>
      <c r="C16" s="29" t="n">
        <v>46031</v>
      </c>
      <c r="D16" s="28" t="s">
        <v>91</v>
      </c>
      <c r="E16" s="28" t="s">
        <v>125</v>
      </c>
      <c r="F16" s="28" t="s">
        <v>93</v>
      </c>
      <c r="G16" s="28" t="n">
        <v>20</v>
      </c>
      <c r="H16" s="28" t="s">
        <v>94</v>
      </c>
      <c r="I16" s="28" t="str">
        <f aca="false">TEXT(C16,"yyyy-mm")</f>
        <v>2026-01</v>
      </c>
      <c r="J16" s="28" t="n">
        <f aca="false">WEEKNUM(C16,21)</f>
        <v>2</v>
      </c>
    </row>
    <row r="17" customFormat="false" ht="15" hidden="false" customHeight="false" outlineLevel="0" collapsed="false">
      <c r="A17" s="28" t="n">
        <v>16</v>
      </c>
      <c r="B17" s="28" t="s">
        <v>126</v>
      </c>
      <c r="C17" s="29" t="n">
        <v>46034</v>
      </c>
      <c r="D17" s="28" t="s">
        <v>91</v>
      </c>
      <c r="E17" s="28" t="s">
        <v>127</v>
      </c>
      <c r="F17" s="28" t="s">
        <v>93</v>
      </c>
      <c r="G17" s="28" t="n">
        <v>25</v>
      </c>
      <c r="H17" s="28" t="s">
        <v>94</v>
      </c>
      <c r="I17" s="28" t="str">
        <f aca="false">TEXT(C17,"yyyy-mm")</f>
        <v>2026-01</v>
      </c>
      <c r="J17" s="28" t="n">
        <f aca="false">WEEKNUM(C17,21)</f>
        <v>3</v>
      </c>
    </row>
    <row r="18" customFormat="false" ht="15" hidden="false" customHeight="false" outlineLevel="0" collapsed="false">
      <c r="A18" s="28" t="n">
        <v>17</v>
      </c>
      <c r="B18" s="28" t="s">
        <v>128</v>
      </c>
      <c r="C18" s="29" t="n">
        <v>46034</v>
      </c>
      <c r="D18" s="28" t="s">
        <v>129</v>
      </c>
      <c r="E18" s="28" t="s">
        <v>130</v>
      </c>
      <c r="F18" s="28" t="s">
        <v>93</v>
      </c>
      <c r="G18" s="28" t="n">
        <v>25</v>
      </c>
      <c r="H18" s="28" t="s">
        <v>94</v>
      </c>
      <c r="I18" s="28" t="str">
        <f aca="false">TEXT(C18,"yyyy-mm")</f>
        <v>2026-01</v>
      </c>
      <c r="J18" s="28" t="n">
        <f aca="false">WEEKNUM(C18,21)</f>
        <v>3</v>
      </c>
    </row>
    <row r="19" customFormat="false" ht="15" hidden="false" customHeight="false" outlineLevel="0" collapsed="false">
      <c r="A19" s="28" t="n">
        <v>18</v>
      </c>
      <c r="B19" s="28" t="s">
        <v>131</v>
      </c>
      <c r="C19" s="29" t="n">
        <v>46035</v>
      </c>
      <c r="D19" s="28" t="s">
        <v>96</v>
      </c>
      <c r="E19" s="28" t="s">
        <v>132</v>
      </c>
      <c r="F19" s="28" t="s">
        <v>93</v>
      </c>
      <c r="G19" s="28" t="n">
        <v>40</v>
      </c>
      <c r="H19" s="28" t="s">
        <v>94</v>
      </c>
      <c r="I19" s="28" t="str">
        <f aca="false">TEXT(C19,"yyyy-mm")</f>
        <v>2026-01</v>
      </c>
      <c r="J19" s="28" t="n">
        <f aca="false">WEEKNUM(C19,21)</f>
        <v>3</v>
      </c>
    </row>
    <row r="20" customFormat="false" ht="15" hidden="false" customHeight="false" outlineLevel="0" collapsed="false">
      <c r="A20" s="28" t="n">
        <v>19</v>
      </c>
      <c r="B20" s="28" t="s">
        <v>133</v>
      </c>
      <c r="C20" s="29" t="n">
        <v>46035</v>
      </c>
      <c r="D20" s="28" t="s">
        <v>91</v>
      </c>
      <c r="E20" s="28" t="s">
        <v>134</v>
      </c>
      <c r="F20" s="28" t="s">
        <v>93</v>
      </c>
      <c r="G20" s="28" t="n">
        <v>20</v>
      </c>
      <c r="H20" s="28" t="s">
        <v>94</v>
      </c>
      <c r="I20" s="28" t="str">
        <f aca="false">TEXT(C20,"yyyy-mm")</f>
        <v>2026-01</v>
      </c>
      <c r="J20" s="28" t="n">
        <f aca="false">WEEKNUM(C20,21)</f>
        <v>3</v>
      </c>
    </row>
    <row r="21" customFormat="false" ht="15" hidden="false" customHeight="false" outlineLevel="0" collapsed="false">
      <c r="A21" s="28" t="n">
        <v>20</v>
      </c>
      <c r="B21" s="28" t="s">
        <v>135</v>
      </c>
      <c r="C21" s="29" t="n">
        <v>46036</v>
      </c>
      <c r="D21" s="28" t="s">
        <v>104</v>
      </c>
      <c r="E21" s="28" t="s">
        <v>136</v>
      </c>
      <c r="F21" s="28" t="s">
        <v>93</v>
      </c>
      <c r="G21" s="28" t="n">
        <v>45</v>
      </c>
      <c r="H21" s="28" t="s">
        <v>94</v>
      </c>
      <c r="I21" s="28" t="str">
        <f aca="false">TEXT(C21,"yyyy-mm")</f>
        <v>2026-01</v>
      </c>
      <c r="J21" s="28" t="n">
        <f aca="false">WEEKNUM(C21,21)</f>
        <v>3</v>
      </c>
    </row>
    <row r="22" customFormat="false" ht="15" hidden="false" customHeight="false" outlineLevel="0" collapsed="false">
      <c r="A22" s="28" t="n">
        <v>21</v>
      </c>
      <c r="B22" s="28" t="s">
        <v>137</v>
      </c>
      <c r="C22" s="29" t="n">
        <v>46036</v>
      </c>
      <c r="D22" s="28" t="s">
        <v>91</v>
      </c>
      <c r="E22" s="28" t="s">
        <v>138</v>
      </c>
      <c r="F22" s="28" t="s">
        <v>93</v>
      </c>
      <c r="G22" s="28" t="n">
        <v>25</v>
      </c>
      <c r="H22" s="28" t="s">
        <v>94</v>
      </c>
      <c r="I22" s="28" t="str">
        <f aca="false">TEXT(C22,"yyyy-mm")</f>
        <v>2026-01</v>
      </c>
      <c r="J22" s="28" t="n">
        <f aca="false">WEEKNUM(C22,21)</f>
        <v>3</v>
      </c>
    </row>
    <row r="23" customFormat="false" ht="15" hidden="false" customHeight="false" outlineLevel="0" collapsed="false">
      <c r="A23" s="28" t="n">
        <v>22</v>
      </c>
      <c r="B23" s="28" t="s">
        <v>139</v>
      </c>
      <c r="C23" s="29" t="n">
        <v>46037</v>
      </c>
      <c r="D23" s="28" t="s">
        <v>96</v>
      </c>
      <c r="E23" s="28" t="s">
        <v>140</v>
      </c>
      <c r="F23" s="28" t="s">
        <v>93</v>
      </c>
      <c r="G23" s="28" t="n">
        <v>50</v>
      </c>
      <c r="H23" s="28" t="s">
        <v>94</v>
      </c>
      <c r="I23" s="28" t="str">
        <f aca="false">TEXT(C23,"yyyy-mm")</f>
        <v>2026-01</v>
      </c>
      <c r="J23" s="28" t="n">
        <f aca="false">WEEKNUM(C23,21)</f>
        <v>3</v>
      </c>
    </row>
    <row r="24" customFormat="false" ht="15" hidden="false" customHeight="false" outlineLevel="0" collapsed="false">
      <c r="A24" s="28" t="n">
        <v>23</v>
      </c>
      <c r="B24" s="28" t="s">
        <v>141</v>
      </c>
      <c r="C24" s="29" t="n">
        <v>46037</v>
      </c>
      <c r="D24" s="28" t="s">
        <v>99</v>
      </c>
      <c r="E24" s="28" t="s">
        <v>142</v>
      </c>
      <c r="F24" s="28" t="s">
        <v>93</v>
      </c>
      <c r="G24" s="28" t="n">
        <v>10</v>
      </c>
      <c r="H24" s="28" t="s">
        <v>94</v>
      </c>
      <c r="I24" s="28" t="str">
        <f aca="false">TEXT(C24,"yyyy-mm")</f>
        <v>2026-01</v>
      </c>
      <c r="J24" s="28" t="n">
        <f aca="false">WEEKNUM(C24,21)</f>
        <v>3</v>
      </c>
    </row>
    <row r="25" customFormat="false" ht="15" hidden="false" customHeight="false" outlineLevel="0" collapsed="false">
      <c r="A25" s="28" t="n">
        <v>24</v>
      </c>
      <c r="B25" s="28" t="s">
        <v>143</v>
      </c>
      <c r="C25" s="29" t="n">
        <v>46038</v>
      </c>
      <c r="D25" s="28" t="s">
        <v>91</v>
      </c>
      <c r="E25" s="28" t="s">
        <v>144</v>
      </c>
      <c r="F25" s="28" t="s">
        <v>93</v>
      </c>
      <c r="G25" s="28" t="n">
        <v>20</v>
      </c>
      <c r="H25" s="28" t="s">
        <v>94</v>
      </c>
      <c r="I25" s="28" t="str">
        <f aca="false">TEXT(C25,"yyyy-mm")</f>
        <v>2026-01</v>
      </c>
      <c r="J25" s="28" t="n">
        <f aca="false">WEEKNUM(C25,21)</f>
        <v>3</v>
      </c>
    </row>
    <row r="26" customFormat="false" ht="15" hidden="false" customHeight="false" outlineLevel="0" collapsed="false">
      <c r="A26" s="28" t="n">
        <v>25</v>
      </c>
      <c r="B26" s="28" t="s">
        <v>145</v>
      </c>
      <c r="C26" s="29" t="n">
        <v>46038</v>
      </c>
      <c r="D26" s="28" t="s">
        <v>91</v>
      </c>
      <c r="E26" s="28" t="s">
        <v>146</v>
      </c>
      <c r="F26" s="28" t="s">
        <v>93</v>
      </c>
      <c r="G26" s="28" t="n">
        <v>25</v>
      </c>
      <c r="H26" s="28" t="s">
        <v>94</v>
      </c>
      <c r="I26" s="28" t="str">
        <f aca="false">TEXT(C26,"yyyy-mm")</f>
        <v>2026-01</v>
      </c>
      <c r="J26" s="28" t="n">
        <f aca="false">WEEKNUM(C26,21)</f>
        <v>3</v>
      </c>
    </row>
    <row r="27" customFormat="false" ht="15" hidden="false" customHeight="false" outlineLevel="0" collapsed="false">
      <c r="A27" s="28" t="n">
        <v>26</v>
      </c>
      <c r="B27" s="28" t="s">
        <v>147</v>
      </c>
      <c r="C27" s="29" t="n">
        <v>46041</v>
      </c>
      <c r="D27" s="28" t="s">
        <v>96</v>
      </c>
      <c r="E27" s="28" t="s">
        <v>148</v>
      </c>
      <c r="F27" s="28" t="s">
        <v>93</v>
      </c>
      <c r="G27" s="28" t="n">
        <v>45</v>
      </c>
      <c r="H27" s="28" t="s">
        <v>94</v>
      </c>
      <c r="I27" s="28" t="str">
        <f aca="false">TEXT(C27,"yyyy-mm")</f>
        <v>2026-01</v>
      </c>
      <c r="J27" s="28" t="n">
        <f aca="false">WEEKNUM(C27,21)</f>
        <v>4</v>
      </c>
    </row>
    <row r="28" customFormat="false" ht="15" hidden="false" customHeight="false" outlineLevel="0" collapsed="false">
      <c r="A28" s="28" t="n">
        <v>27</v>
      </c>
      <c r="B28" s="28" t="s">
        <v>149</v>
      </c>
      <c r="C28" s="29" t="n">
        <v>46041</v>
      </c>
      <c r="D28" s="28" t="s">
        <v>104</v>
      </c>
      <c r="E28" s="28" t="s">
        <v>150</v>
      </c>
      <c r="F28" s="28" t="s">
        <v>93</v>
      </c>
      <c r="G28" s="28" t="n">
        <v>45</v>
      </c>
      <c r="H28" s="28" t="s">
        <v>94</v>
      </c>
      <c r="I28" s="28" t="str">
        <f aca="false">TEXT(C28,"yyyy-mm")</f>
        <v>2026-01</v>
      </c>
      <c r="J28" s="28" t="n">
        <f aca="false">WEEKNUM(C28,21)</f>
        <v>4</v>
      </c>
    </row>
    <row r="29" customFormat="false" ht="15" hidden="false" customHeight="false" outlineLevel="0" collapsed="false">
      <c r="A29" s="28" t="n">
        <v>28</v>
      </c>
      <c r="B29" s="28" t="s">
        <v>151</v>
      </c>
      <c r="C29" s="29" t="n">
        <v>46042</v>
      </c>
      <c r="D29" s="28" t="s">
        <v>91</v>
      </c>
      <c r="E29" s="28" t="s">
        <v>152</v>
      </c>
      <c r="F29" s="28" t="s">
        <v>93</v>
      </c>
      <c r="G29" s="28" t="n">
        <v>20</v>
      </c>
      <c r="H29" s="28" t="s">
        <v>94</v>
      </c>
      <c r="I29" s="28" t="str">
        <f aca="false">TEXT(C29,"yyyy-mm")</f>
        <v>2026-01</v>
      </c>
      <c r="J29" s="28" t="n">
        <f aca="false">WEEKNUM(C29,21)</f>
        <v>4</v>
      </c>
    </row>
    <row r="30" customFormat="false" ht="15" hidden="false" customHeight="false" outlineLevel="0" collapsed="false">
      <c r="A30" s="28" t="n">
        <v>29</v>
      </c>
      <c r="B30" s="28" t="s">
        <v>153</v>
      </c>
      <c r="C30" s="29" t="n">
        <v>46042</v>
      </c>
      <c r="D30" s="28" t="s">
        <v>91</v>
      </c>
      <c r="E30" s="28" t="s">
        <v>154</v>
      </c>
      <c r="F30" s="28" t="s">
        <v>93</v>
      </c>
      <c r="G30" s="28" t="n">
        <v>25</v>
      </c>
      <c r="H30" s="28" t="s">
        <v>94</v>
      </c>
      <c r="I30" s="28" t="str">
        <f aca="false">TEXT(C30,"yyyy-mm")</f>
        <v>2026-01</v>
      </c>
      <c r="J30" s="28" t="n">
        <f aca="false">WEEKNUM(C30,21)</f>
        <v>4</v>
      </c>
    </row>
    <row r="31" customFormat="false" ht="15" hidden="false" customHeight="false" outlineLevel="0" collapsed="false">
      <c r="A31" s="28" t="n">
        <v>30</v>
      </c>
      <c r="B31" s="28" t="s">
        <v>155</v>
      </c>
      <c r="C31" s="29" t="n">
        <v>46043</v>
      </c>
      <c r="D31" s="28" t="s">
        <v>96</v>
      </c>
      <c r="E31" s="28" t="s">
        <v>156</v>
      </c>
      <c r="F31" s="28" t="s">
        <v>93</v>
      </c>
      <c r="G31" s="28" t="n">
        <v>45</v>
      </c>
      <c r="H31" s="28" t="s">
        <v>94</v>
      </c>
      <c r="I31" s="28" t="str">
        <f aca="false">TEXT(C31,"yyyy-mm")</f>
        <v>2026-01</v>
      </c>
      <c r="J31" s="28" t="n">
        <f aca="false">WEEKNUM(C31,21)</f>
        <v>4</v>
      </c>
    </row>
    <row r="32" customFormat="false" ht="15" hidden="false" customHeight="false" outlineLevel="0" collapsed="false">
      <c r="A32" s="28" t="n">
        <v>31</v>
      </c>
      <c r="B32" s="28" t="s">
        <v>157</v>
      </c>
      <c r="C32" s="29" t="n">
        <v>46043</v>
      </c>
      <c r="D32" s="28" t="s">
        <v>158</v>
      </c>
      <c r="E32" s="28" t="s">
        <v>159</v>
      </c>
      <c r="F32" s="28" t="s">
        <v>93</v>
      </c>
      <c r="G32" s="28" t="n">
        <v>40</v>
      </c>
      <c r="H32" s="28" t="s">
        <v>94</v>
      </c>
      <c r="I32" s="28" t="str">
        <f aca="false">TEXT(C32,"yyyy-mm")</f>
        <v>2026-01</v>
      </c>
      <c r="J32" s="28" t="n">
        <f aca="false">WEEKNUM(C32,21)</f>
        <v>4</v>
      </c>
    </row>
    <row r="33" customFormat="false" ht="15" hidden="false" customHeight="false" outlineLevel="0" collapsed="false">
      <c r="A33" s="28" t="n">
        <v>32</v>
      </c>
      <c r="B33" s="28" t="s">
        <v>160</v>
      </c>
      <c r="C33" s="29" t="n">
        <v>46044</v>
      </c>
      <c r="D33" s="28" t="s">
        <v>91</v>
      </c>
      <c r="E33" s="28" t="s">
        <v>161</v>
      </c>
      <c r="F33" s="28" t="s">
        <v>93</v>
      </c>
      <c r="G33" s="28" t="n">
        <v>20</v>
      </c>
      <c r="H33" s="28" t="s">
        <v>94</v>
      </c>
      <c r="I33" s="28" t="str">
        <f aca="false">TEXT(C33,"yyyy-mm")</f>
        <v>2026-01</v>
      </c>
      <c r="J33" s="28" t="n">
        <f aca="false">WEEKNUM(C33,21)</f>
        <v>4</v>
      </c>
    </row>
    <row r="34" customFormat="false" ht="15" hidden="false" customHeight="false" outlineLevel="0" collapsed="false">
      <c r="A34" s="28" t="n">
        <v>33</v>
      </c>
      <c r="B34" s="28" t="s">
        <v>162</v>
      </c>
      <c r="C34" s="29" t="n">
        <v>46044</v>
      </c>
      <c r="D34" s="28" t="s">
        <v>99</v>
      </c>
      <c r="E34" s="28" t="s">
        <v>163</v>
      </c>
      <c r="F34" s="28" t="s">
        <v>93</v>
      </c>
      <c r="G34" s="28" t="n">
        <v>10</v>
      </c>
      <c r="H34" s="28" t="s">
        <v>94</v>
      </c>
      <c r="I34" s="28" t="str">
        <f aca="false">TEXT(C34,"yyyy-mm")</f>
        <v>2026-01</v>
      </c>
      <c r="J34" s="28" t="n">
        <f aca="false">WEEKNUM(C34,21)</f>
        <v>4</v>
      </c>
    </row>
    <row r="35" customFormat="false" ht="15" hidden="false" customHeight="false" outlineLevel="0" collapsed="false">
      <c r="A35" s="28" t="n">
        <v>34</v>
      </c>
      <c r="B35" s="28" t="s">
        <v>164</v>
      </c>
      <c r="C35" s="29" t="n">
        <v>46045</v>
      </c>
      <c r="D35" s="28" t="s">
        <v>96</v>
      </c>
      <c r="E35" s="28" t="s">
        <v>165</v>
      </c>
      <c r="F35" s="28" t="s">
        <v>93</v>
      </c>
      <c r="G35" s="28" t="n">
        <v>50</v>
      </c>
      <c r="H35" s="28" t="s">
        <v>94</v>
      </c>
      <c r="I35" s="28" t="str">
        <f aca="false">TEXT(C35,"yyyy-mm")</f>
        <v>2026-01</v>
      </c>
      <c r="J35" s="28" t="n">
        <f aca="false">WEEKNUM(C35,21)</f>
        <v>4</v>
      </c>
    </row>
    <row r="36" customFormat="false" ht="15" hidden="false" customHeight="false" outlineLevel="0" collapsed="false">
      <c r="A36" s="28" t="n">
        <v>35</v>
      </c>
      <c r="B36" s="28" t="s">
        <v>166</v>
      </c>
      <c r="C36" s="29" t="n">
        <v>46045</v>
      </c>
      <c r="D36" s="28" t="s">
        <v>91</v>
      </c>
      <c r="E36" s="28" t="s">
        <v>167</v>
      </c>
      <c r="F36" s="28" t="s">
        <v>93</v>
      </c>
      <c r="G36" s="28" t="n">
        <v>25</v>
      </c>
      <c r="H36" s="28" t="s">
        <v>94</v>
      </c>
      <c r="I36" s="28" t="str">
        <f aca="false">TEXT(C36,"yyyy-mm")</f>
        <v>2026-01</v>
      </c>
      <c r="J36" s="28" t="n">
        <f aca="false">WEEKNUM(C36,21)</f>
        <v>4</v>
      </c>
    </row>
    <row r="37" customFormat="false" ht="15" hidden="false" customHeight="false" outlineLevel="0" collapsed="false">
      <c r="A37" s="28" t="n">
        <v>36</v>
      </c>
      <c r="B37" s="28" t="s">
        <v>168</v>
      </c>
      <c r="C37" s="29" t="n">
        <v>46048</v>
      </c>
      <c r="D37" s="28" t="s">
        <v>104</v>
      </c>
      <c r="E37" s="28" t="s">
        <v>169</v>
      </c>
      <c r="F37" s="28" t="s">
        <v>93</v>
      </c>
      <c r="G37" s="28" t="n">
        <v>45</v>
      </c>
      <c r="H37" s="28" t="s">
        <v>94</v>
      </c>
      <c r="I37" s="28" t="str">
        <f aca="false">TEXT(C37,"yyyy-mm")</f>
        <v>2026-01</v>
      </c>
      <c r="J37" s="28" t="n">
        <f aca="false">WEEKNUM(C37,21)</f>
        <v>5</v>
      </c>
    </row>
    <row r="38" customFormat="false" ht="15" hidden="false" customHeight="false" outlineLevel="0" collapsed="false">
      <c r="A38" s="28" t="n">
        <v>37</v>
      </c>
      <c r="B38" s="28" t="s">
        <v>170</v>
      </c>
      <c r="C38" s="29" t="n">
        <v>46048</v>
      </c>
      <c r="D38" s="28" t="s">
        <v>91</v>
      </c>
      <c r="E38" s="28" t="s">
        <v>171</v>
      </c>
      <c r="F38" s="28" t="s">
        <v>93</v>
      </c>
      <c r="G38" s="28" t="n">
        <v>20</v>
      </c>
      <c r="H38" s="28" t="s">
        <v>94</v>
      </c>
      <c r="I38" s="28" t="str">
        <f aca="false">TEXT(C38,"yyyy-mm")</f>
        <v>2026-01</v>
      </c>
      <c r="J38" s="28" t="n">
        <f aca="false">WEEKNUM(C38,21)</f>
        <v>5</v>
      </c>
    </row>
    <row r="39" customFormat="false" ht="15" hidden="false" customHeight="false" outlineLevel="0" collapsed="false">
      <c r="A39" s="28" t="n">
        <v>38</v>
      </c>
      <c r="B39" s="28" t="s">
        <v>172</v>
      </c>
      <c r="C39" s="29" t="n">
        <v>46049</v>
      </c>
      <c r="D39" s="28" t="s">
        <v>96</v>
      </c>
      <c r="E39" s="28" t="s">
        <v>173</v>
      </c>
      <c r="F39" s="28" t="s">
        <v>93</v>
      </c>
      <c r="G39" s="28" t="n">
        <v>45</v>
      </c>
      <c r="H39" s="28" t="s">
        <v>94</v>
      </c>
      <c r="I39" s="28" t="str">
        <f aca="false">TEXT(C39,"yyyy-mm")</f>
        <v>2026-01</v>
      </c>
      <c r="J39" s="28" t="n">
        <f aca="false">WEEKNUM(C39,21)</f>
        <v>5</v>
      </c>
    </row>
    <row r="40" customFormat="false" ht="15" hidden="false" customHeight="false" outlineLevel="0" collapsed="false">
      <c r="A40" s="28" t="n">
        <v>39</v>
      </c>
      <c r="B40" s="30" t="s">
        <v>174</v>
      </c>
      <c r="C40" s="29" t="n">
        <v>46049</v>
      </c>
      <c r="D40" s="28" t="s">
        <v>91</v>
      </c>
      <c r="E40" s="28" t="s">
        <v>175</v>
      </c>
      <c r="F40" s="28"/>
      <c r="G40" s="28" t="n">
        <v>25</v>
      </c>
      <c r="H40" s="28" t="s">
        <v>94</v>
      </c>
      <c r="I40" s="28" t="str">
        <f aca="false">TEXT(C40,"yyyy-mm")</f>
        <v>2026-01</v>
      </c>
      <c r="J40" s="28" t="n">
        <f aca="false">WEEKNUM(C40,21)</f>
        <v>5</v>
      </c>
      <c r="K40" s="31" t="s">
        <v>122</v>
      </c>
      <c r="L40" s="5" t="s">
        <v>123</v>
      </c>
    </row>
    <row r="41" customFormat="false" ht="15" hidden="false" customHeight="false" outlineLevel="0" collapsed="false">
      <c r="A41" s="28" t="n">
        <v>40</v>
      </c>
      <c r="B41" s="28" t="s">
        <v>176</v>
      </c>
      <c r="C41" s="29" t="n">
        <v>46050</v>
      </c>
      <c r="D41" s="28" t="s">
        <v>129</v>
      </c>
      <c r="E41" s="28" t="s">
        <v>177</v>
      </c>
      <c r="F41" s="28" t="s">
        <v>93</v>
      </c>
      <c r="G41" s="28" t="n">
        <v>20</v>
      </c>
      <c r="H41" s="28" t="s">
        <v>94</v>
      </c>
      <c r="I41" s="28" t="str">
        <f aca="false">TEXT(C41,"yyyy-mm")</f>
        <v>2026-01</v>
      </c>
      <c r="J41" s="28" t="n">
        <f aca="false">WEEKNUM(C41,21)</f>
        <v>5</v>
      </c>
    </row>
    <row r="42" customFormat="false" ht="15" hidden="false" customHeight="false" outlineLevel="0" collapsed="false">
      <c r="A42" s="28" t="n">
        <v>41</v>
      </c>
      <c r="B42" s="28" t="s">
        <v>178</v>
      </c>
      <c r="C42" s="29" t="n">
        <v>46050</v>
      </c>
      <c r="D42" s="28" t="s">
        <v>91</v>
      </c>
      <c r="E42" s="28" t="s">
        <v>179</v>
      </c>
      <c r="F42" s="28" t="s">
        <v>93</v>
      </c>
      <c r="G42" s="28" t="n">
        <v>25</v>
      </c>
      <c r="H42" s="28" t="s">
        <v>94</v>
      </c>
      <c r="I42" s="28" t="str">
        <f aca="false">TEXT(C42,"yyyy-mm")</f>
        <v>2026-01</v>
      </c>
      <c r="J42" s="28" t="n">
        <f aca="false">WEEKNUM(C42,21)</f>
        <v>5</v>
      </c>
    </row>
    <row r="43" customFormat="false" ht="15" hidden="false" customHeight="false" outlineLevel="0" collapsed="false">
      <c r="A43" s="28" t="n">
        <v>42</v>
      </c>
      <c r="B43" s="28" t="s">
        <v>180</v>
      </c>
      <c r="C43" s="29" t="n">
        <v>46051</v>
      </c>
      <c r="D43" s="28" t="s">
        <v>96</v>
      </c>
      <c r="E43" s="28" t="s">
        <v>181</v>
      </c>
      <c r="F43" s="28" t="s">
        <v>93</v>
      </c>
      <c r="G43" s="28" t="n">
        <v>40</v>
      </c>
      <c r="H43" s="28" t="s">
        <v>94</v>
      </c>
      <c r="I43" s="28" t="str">
        <f aca="false">TEXT(C43,"yyyy-mm")</f>
        <v>2026-01</v>
      </c>
      <c r="J43" s="28" t="n">
        <f aca="false">WEEKNUM(C43,21)</f>
        <v>5</v>
      </c>
    </row>
    <row r="44" customFormat="false" ht="15" hidden="false" customHeight="false" outlineLevel="0" collapsed="false">
      <c r="A44" s="28" t="n">
        <v>43</v>
      </c>
      <c r="B44" s="28" t="s">
        <v>182</v>
      </c>
      <c r="C44" s="29" t="n">
        <v>46051</v>
      </c>
      <c r="D44" s="28" t="s">
        <v>91</v>
      </c>
      <c r="E44" s="28" t="s">
        <v>183</v>
      </c>
      <c r="F44" s="28" t="s">
        <v>93</v>
      </c>
      <c r="G44" s="28" t="n">
        <v>20</v>
      </c>
      <c r="H44" s="28" t="s">
        <v>94</v>
      </c>
      <c r="I44" s="28" t="str">
        <f aca="false">TEXT(C44,"yyyy-mm")</f>
        <v>2026-01</v>
      </c>
      <c r="J44" s="28" t="n">
        <f aca="false">WEEKNUM(C44,21)</f>
        <v>5</v>
      </c>
    </row>
    <row r="45" customFormat="false" ht="15" hidden="false" customHeight="false" outlineLevel="0" collapsed="false">
      <c r="A45" s="28" t="n">
        <v>44</v>
      </c>
      <c r="B45" s="28" t="s">
        <v>184</v>
      </c>
      <c r="C45" s="29" t="n">
        <v>46052</v>
      </c>
      <c r="D45" s="28" t="s">
        <v>104</v>
      </c>
      <c r="E45" s="28" t="s">
        <v>185</v>
      </c>
      <c r="F45" s="28" t="s">
        <v>93</v>
      </c>
      <c r="G45" s="28" t="n">
        <v>50</v>
      </c>
      <c r="H45" s="28" t="s">
        <v>94</v>
      </c>
      <c r="I45" s="28" t="str">
        <f aca="false">TEXT(C45,"yyyy-mm")</f>
        <v>2026-01</v>
      </c>
      <c r="J45" s="28" t="n">
        <f aca="false">WEEKNUM(C45,21)</f>
        <v>5</v>
      </c>
    </row>
    <row r="46" customFormat="false" ht="15" hidden="false" customHeight="false" outlineLevel="0" collapsed="false">
      <c r="A46" s="28" t="n">
        <v>45</v>
      </c>
      <c r="B46" s="28" t="s">
        <v>186</v>
      </c>
      <c r="C46" s="29" t="n">
        <v>46052</v>
      </c>
      <c r="D46" s="28" t="s">
        <v>91</v>
      </c>
      <c r="E46" s="28" t="s">
        <v>187</v>
      </c>
      <c r="F46" s="28" t="s">
        <v>93</v>
      </c>
      <c r="G46" s="28" t="n">
        <v>25</v>
      </c>
      <c r="H46" s="28" t="s">
        <v>94</v>
      </c>
      <c r="I46" s="28" t="str">
        <f aca="false">TEXT(C46,"yyyy-mm")</f>
        <v>2026-01</v>
      </c>
      <c r="J46" s="28" t="n">
        <f aca="false">WEEKNUM(C46,21)</f>
        <v>5</v>
      </c>
    </row>
    <row r="47" customFormat="false" ht="15" hidden="false" customHeight="false" outlineLevel="0" collapsed="false">
      <c r="A47" s="28" t="n">
        <v>46</v>
      </c>
      <c r="B47" s="28" t="s">
        <v>188</v>
      </c>
      <c r="C47" s="29" t="n">
        <v>46055</v>
      </c>
      <c r="D47" s="28" t="s">
        <v>96</v>
      </c>
      <c r="E47" s="28" t="s">
        <v>189</v>
      </c>
      <c r="F47" s="28" t="s">
        <v>93</v>
      </c>
      <c r="G47" s="28" t="n">
        <v>45</v>
      </c>
      <c r="H47" s="28" t="s">
        <v>94</v>
      </c>
      <c r="I47" s="28" t="str">
        <f aca="false">TEXT(C47,"yyyy-mm")</f>
        <v>2026-02</v>
      </c>
      <c r="J47" s="28" t="n">
        <f aca="false">WEEKNUM(C47,21)</f>
        <v>6</v>
      </c>
    </row>
    <row r="48" customFormat="false" ht="15" hidden="false" customHeight="false" outlineLevel="0" collapsed="false">
      <c r="A48" s="28" t="n">
        <v>47</v>
      </c>
      <c r="B48" s="28" t="s">
        <v>190</v>
      </c>
      <c r="C48" s="29" t="n">
        <v>46055</v>
      </c>
      <c r="D48" s="28" t="s">
        <v>91</v>
      </c>
      <c r="E48" s="28" t="s">
        <v>191</v>
      </c>
      <c r="F48" s="28" t="s">
        <v>93</v>
      </c>
      <c r="G48" s="28" t="n">
        <v>20</v>
      </c>
      <c r="H48" s="28" t="s">
        <v>94</v>
      </c>
      <c r="I48" s="28" t="str">
        <f aca="false">TEXT(C48,"yyyy-mm")</f>
        <v>2026-02</v>
      </c>
      <c r="J48" s="28" t="n">
        <f aca="false">WEEKNUM(C48,21)</f>
        <v>6</v>
      </c>
    </row>
    <row r="49" customFormat="false" ht="15" hidden="false" customHeight="false" outlineLevel="0" collapsed="false">
      <c r="A49" s="28" t="n">
        <v>48</v>
      </c>
      <c r="B49" s="28" t="s">
        <v>192</v>
      </c>
      <c r="C49" s="29" t="n">
        <v>46056</v>
      </c>
      <c r="D49" s="28" t="s">
        <v>99</v>
      </c>
      <c r="E49" s="28" t="s">
        <v>193</v>
      </c>
      <c r="F49" s="28" t="s">
        <v>93</v>
      </c>
      <c r="G49" s="28" t="n">
        <v>10</v>
      </c>
      <c r="H49" s="28" t="s">
        <v>94</v>
      </c>
      <c r="I49" s="28" t="str">
        <f aca="false">TEXT(C49,"yyyy-mm")</f>
        <v>2026-02</v>
      </c>
      <c r="J49" s="28" t="n">
        <f aca="false">WEEKNUM(C49,21)</f>
        <v>6</v>
      </c>
    </row>
    <row r="50" customFormat="false" ht="15" hidden="false" customHeight="false" outlineLevel="0" collapsed="false">
      <c r="A50" s="28" t="n">
        <v>49</v>
      </c>
      <c r="B50" s="28" t="s">
        <v>194</v>
      </c>
      <c r="C50" s="29" t="n">
        <v>46056</v>
      </c>
      <c r="D50" s="28" t="s">
        <v>91</v>
      </c>
      <c r="E50" s="28" t="s">
        <v>195</v>
      </c>
      <c r="F50" s="28" t="s">
        <v>93</v>
      </c>
      <c r="G50" s="28" t="n">
        <v>25</v>
      </c>
      <c r="H50" s="28" t="s">
        <v>94</v>
      </c>
      <c r="I50" s="28" t="str">
        <f aca="false">TEXT(C50,"yyyy-mm")</f>
        <v>2026-02</v>
      </c>
      <c r="J50" s="28" t="n">
        <f aca="false">WEEKNUM(C50,21)</f>
        <v>6</v>
      </c>
    </row>
    <row r="51" customFormat="false" ht="15" hidden="false" customHeight="false" outlineLevel="0" collapsed="false">
      <c r="A51" s="28" t="n">
        <v>50</v>
      </c>
      <c r="B51" s="28" t="s">
        <v>196</v>
      </c>
      <c r="C51" s="29" t="n">
        <v>46057</v>
      </c>
      <c r="D51" s="28" t="s">
        <v>96</v>
      </c>
      <c r="E51" s="28" t="s">
        <v>197</v>
      </c>
      <c r="F51" s="28" t="s">
        <v>93</v>
      </c>
      <c r="G51" s="28" t="n">
        <v>50</v>
      </c>
      <c r="H51" s="28" t="s">
        <v>94</v>
      </c>
      <c r="I51" s="28" t="str">
        <f aca="false">TEXT(C51,"yyyy-mm")</f>
        <v>2026-02</v>
      </c>
      <c r="J51" s="28" t="n">
        <f aca="false">WEEKNUM(C51,21)</f>
        <v>6</v>
      </c>
    </row>
    <row r="52" customFormat="false" ht="15" hidden="false" customHeight="false" outlineLevel="0" collapsed="false">
      <c r="A52" s="28" t="n">
        <v>51</v>
      </c>
      <c r="B52" s="28" t="s">
        <v>198</v>
      </c>
      <c r="C52" s="29" t="n">
        <v>46057</v>
      </c>
      <c r="D52" s="28" t="s">
        <v>104</v>
      </c>
      <c r="E52" s="28" t="s">
        <v>199</v>
      </c>
      <c r="F52" s="28" t="s">
        <v>93</v>
      </c>
      <c r="G52" s="28" t="n">
        <v>55</v>
      </c>
      <c r="H52" s="28" t="s">
        <v>94</v>
      </c>
      <c r="I52" s="28" t="str">
        <f aca="false">TEXT(C52,"yyyy-mm")</f>
        <v>2026-02</v>
      </c>
      <c r="J52" s="28" t="n">
        <f aca="false">WEEKNUM(C52,21)</f>
        <v>6</v>
      </c>
    </row>
    <row r="53" customFormat="false" ht="15" hidden="false" customHeight="false" outlineLevel="0" collapsed="false">
      <c r="A53" s="28" t="n">
        <v>52</v>
      </c>
      <c r="B53" s="28" t="s">
        <v>200</v>
      </c>
      <c r="C53" s="29" t="n">
        <v>46058</v>
      </c>
      <c r="D53" s="28" t="s">
        <v>91</v>
      </c>
      <c r="E53" s="28" t="s">
        <v>201</v>
      </c>
      <c r="F53" s="28" t="s">
        <v>93</v>
      </c>
      <c r="G53" s="28" t="n">
        <v>20</v>
      </c>
      <c r="H53" s="28" t="s">
        <v>94</v>
      </c>
      <c r="I53" s="28" t="str">
        <f aca="false">TEXT(C53,"yyyy-mm")</f>
        <v>2026-02</v>
      </c>
      <c r="J53" s="28" t="n">
        <f aca="false">WEEKNUM(C53,21)</f>
        <v>6</v>
      </c>
    </row>
    <row r="54" customFormat="false" ht="15" hidden="false" customHeight="false" outlineLevel="0" collapsed="false">
      <c r="A54" s="28" t="n">
        <v>53</v>
      </c>
      <c r="B54" s="28" t="s">
        <v>202</v>
      </c>
      <c r="C54" s="29" t="n">
        <v>46058</v>
      </c>
      <c r="D54" s="28" t="s">
        <v>91</v>
      </c>
      <c r="E54" s="28" t="s">
        <v>203</v>
      </c>
      <c r="F54" s="28" t="s">
        <v>93</v>
      </c>
      <c r="G54" s="28" t="n">
        <v>25</v>
      </c>
      <c r="H54" s="28" t="s">
        <v>94</v>
      </c>
      <c r="I54" s="28" t="str">
        <f aca="false">TEXT(C54,"yyyy-mm")</f>
        <v>2026-02</v>
      </c>
      <c r="J54" s="28" t="n">
        <f aca="false">WEEKNUM(C54,21)</f>
        <v>6</v>
      </c>
    </row>
    <row r="55" customFormat="false" ht="15" hidden="false" customHeight="false" outlineLevel="0" collapsed="false">
      <c r="A55" s="28" t="n">
        <v>54</v>
      </c>
      <c r="B55" s="28" t="s">
        <v>204</v>
      </c>
      <c r="C55" s="29" t="n">
        <v>46059</v>
      </c>
      <c r="D55" s="28" t="s">
        <v>96</v>
      </c>
      <c r="E55" s="28" t="s">
        <v>205</v>
      </c>
      <c r="F55" s="28" t="s">
        <v>93</v>
      </c>
      <c r="G55" s="28" t="n">
        <v>45</v>
      </c>
      <c r="H55" s="28" t="s">
        <v>94</v>
      </c>
      <c r="I55" s="28" t="str">
        <f aca="false">TEXT(C55,"yyyy-mm")</f>
        <v>2026-02</v>
      </c>
      <c r="J55" s="28" t="n">
        <f aca="false">WEEKNUM(C55,21)</f>
        <v>6</v>
      </c>
    </row>
    <row r="56" customFormat="false" ht="15" hidden="false" customHeight="false" outlineLevel="0" collapsed="false">
      <c r="A56" s="28" t="n">
        <v>55</v>
      </c>
      <c r="B56" s="28" t="s">
        <v>206</v>
      </c>
      <c r="C56" s="29" t="n">
        <v>46059</v>
      </c>
      <c r="D56" s="28" t="s">
        <v>158</v>
      </c>
      <c r="E56" s="28" t="s">
        <v>207</v>
      </c>
      <c r="F56" s="28" t="s">
        <v>93</v>
      </c>
      <c r="G56" s="28" t="n">
        <v>45</v>
      </c>
      <c r="H56" s="28" t="s">
        <v>94</v>
      </c>
      <c r="I56" s="28" t="str">
        <f aca="false">TEXT(C56,"yyyy-mm")</f>
        <v>2026-02</v>
      </c>
      <c r="J56" s="28" t="n">
        <f aca="false">WEEKNUM(C56,21)</f>
        <v>6</v>
      </c>
    </row>
    <row r="57" customFormat="false" ht="15" hidden="false" customHeight="false" outlineLevel="0" collapsed="false">
      <c r="A57" s="28" t="n">
        <v>56</v>
      </c>
      <c r="B57" s="28" t="s">
        <v>208</v>
      </c>
      <c r="C57" s="29" t="n">
        <v>46062</v>
      </c>
      <c r="D57" s="28" t="s">
        <v>91</v>
      </c>
      <c r="E57" s="28" t="s">
        <v>209</v>
      </c>
      <c r="F57" s="28" t="s">
        <v>93</v>
      </c>
      <c r="G57" s="28" t="n">
        <v>20</v>
      </c>
      <c r="H57" s="28" t="s">
        <v>94</v>
      </c>
      <c r="I57" s="28" t="str">
        <f aca="false">TEXT(C57,"yyyy-mm")</f>
        <v>2026-02</v>
      </c>
      <c r="J57" s="28" t="n">
        <f aca="false">WEEKNUM(C57,21)</f>
        <v>7</v>
      </c>
    </row>
    <row r="58" customFormat="false" ht="15" hidden="false" customHeight="false" outlineLevel="0" collapsed="false">
      <c r="A58" s="28" t="n">
        <v>57</v>
      </c>
      <c r="B58" s="28" t="s">
        <v>210</v>
      </c>
      <c r="C58" s="29" t="n">
        <v>46062</v>
      </c>
      <c r="D58" s="28" t="s">
        <v>99</v>
      </c>
      <c r="E58" s="28" t="s">
        <v>211</v>
      </c>
      <c r="F58" s="28" t="s">
        <v>93</v>
      </c>
      <c r="G58" s="28" t="n">
        <v>10</v>
      </c>
      <c r="H58" s="28" t="s">
        <v>94</v>
      </c>
      <c r="I58" s="28" t="str">
        <f aca="false">TEXT(C58,"yyyy-mm")</f>
        <v>2026-02</v>
      </c>
      <c r="J58" s="28" t="n">
        <f aca="false">WEEKNUM(C58,21)</f>
        <v>7</v>
      </c>
    </row>
    <row r="59" customFormat="false" ht="15" hidden="false" customHeight="false" outlineLevel="0" collapsed="false">
      <c r="A59" s="28" t="n">
        <v>58</v>
      </c>
      <c r="B59" s="28" t="s">
        <v>212</v>
      </c>
      <c r="C59" s="29" t="n">
        <v>46063</v>
      </c>
      <c r="D59" s="28" t="s">
        <v>96</v>
      </c>
      <c r="E59" s="28" t="s">
        <v>213</v>
      </c>
      <c r="F59" s="28" t="s">
        <v>93</v>
      </c>
      <c r="G59" s="28" t="n">
        <v>45</v>
      </c>
      <c r="H59" s="28" t="s">
        <v>94</v>
      </c>
      <c r="I59" s="28" t="str">
        <f aca="false">TEXT(C59,"yyyy-mm")</f>
        <v>2026-02</v>
      </c>
      <c r="J59" s="28" t="n">
        <f aca="false">WEEKNUM(C59,21)</f>
        <v>7</v>
      </c>
    </row>
    <row r="60" customFormat="false" ht="15" hidden="false" customHeight="false" outlineLevel="0" collapsed="false">
      <c r="A60" s="28" t="n">
        <v>59</v>
      </c>
      <c r="B60" s="28" t="s">
        <v>214</v>
      </c>
      <c r="C60" s="29" t="n">
        <v>46063</v>
      </c>
      <c r="D60" s="28" t="s">
        <v>91</v>
      </c>
      <c r="E60" s="28" t="s">
        <v>215</v>
      </c>
      <c r="F60" s="28" t="s">
        <v>93</v>
      </c>
      <c r="G60" s="28" t="n">
        <v>25</v>
      </c>
      <c r="H60" s="28" t="s">
        <v>94</v>
      </c>
      <c r="I60" s="28" t="str">
        <f aca="false">TEXT(C60,"yyyy-mm")</f>
        <v>2026-02</v>
      </c>
      <c r="J60" s="28" t="n">
        <f aca="false">WEEKNUM(C60,21)</f>
        <v>7</v>
      </c>
    </row>
    <row r="61" customFormat="false" ht="15" hidden="false" customHeight="false" outlineLevel="0" collapsed="false">
      <c r="A61" s="28" t="n">
        <v>60</v>
      </c>
      <c r="B61" s="28" t="s">
        <v>216</v>
      </c>
      <c r="C61" s="29" t="n">
        <v>46064</v>
      </c>
      <c r="D61" s="28" t="s">
        <v>104</v>
      </c>
      <c r="E61" s="28" t="s">
        <v>217</v>
      </c>
      <c r="F61" s="28" t="s">
        <v>93</v>
      </c>
      <c r="G61" s="28" t="n">
        <v>50</v>
      </c>
      <c r="H61" s="28" t="s">
        <v>94</v>
      </c>
      <c r="I61" s="28" t="str">
        <f aca="false">TEXT(C61,"yyyy-mm")</f>
        <v>2026-02</v>
      </c>
      <c r="J61" s="28" t="n">
        <f aca="false">WEEKNUM(C61,21)</f>
        <v>7</v>
      </c>
    </row>
    <row r="62" customFormat="false" ht="15" hidden="false" customHeight="false" outlineLevel="0" collapsed="false">
      <c r="A62" s="28" t="n">
        <v>61</v>
      </c>
      <c r="B62" s="28" t="s">
        <v>218</v>
      </c>
      <c r="C62" s="29" t="n">
        <v>46064</v>
      </c>
      <c r="D62" s="28" t="s">
        <v>91</v>
      </c>
      <c r="E62" s="28" t="s">
        <v>219</v>
      </c>
      <c r="F62" s="28" t="s">
        <v>93</v>
      </c>
      <c r="G62" s="28" t="n">
        <v>20</v>
      </c>
      <c r="H62" s="28" t="s">
        <v>94</v>
      </c>
      <c r="I62" s="28" t="str">
        <f aca="false">TEXT(C62,"yyyy-mm")</f>
        <v>2026-02</v>
      </c>
      <c r="J62" s="28" t="n">
        <f aca="false">WEEKNUM(C62,21)</f>
        <v>7</v>
      </c>
    </row>
    <row r="63" customFormat="false" ht="15" hidden="false" customHeight="false" outlineLevel="0" collapsed="false">
      <c r="A63" s="28" t="n">
        <v>62</v>
      </c>
      <c r="B63" s="28" t="s">
        <v>220</v>
      </c>
      <c r="C63" s="29" t="n">
        <v>46065</v>
      </c>
      <c r="D63" s="28" t="s">
        <v>96</v>
      </c>
      <c r="E63" s="28" t="s">
        <v>221</v>
      </c>
      <c r="F63" s="28" t="s">
        <v>93</v>
      </c>
      <c r="G63" s="28" t="n">
        <v>45</v>
      </c>
      <c r="H63" s="28" t="s">
        <v>94</v>
      </c>
      <c r="I63" s="28" t="str">
        <f aca="false">TEXT(C63,"yyyy-mm")</f>
        <v>2026-02</v>
      </c>
      <c r="J63" s="28" t="n">
        <f aca="false">WEEKNUM(C63,21)</f>
        <v>7</v>
      </c>
    </row>
    <row r="64" customFormat="false" ht="15" hidden="false" customHeight="false" outlineLevel="0" collapsed="false">
      <c r="A64" s="28" t="n">
        <v>63</v>
      </c>
      <c r="B64" s="28" t="s">
        <v>222</v>
      </c>
      <c r="C64" s="29" t="n">
        <v>46065</v>
      </c>
      <c r="D64" s="28" t="s">
        <v>91</v>
      </c>
      <c r="E64" s="28" t="s">
        <v>223</v>
      </c>
      <c r="F64" s="28" t="s">
        <v>93</v>
      </c>
      <c r="G64" s="28" t="n">
        <v>25</v>
      </c>
      <c r="H64" s="28" t="s">
        <v>94</v>
      </c>
      <c r="I64" s="28" t="str">
        <f aca="false">TEXT(C64,"yyyy-mm")</f>
        <v>2026-02</v>
      </c>
      <c r="J64" s="28" t="n">
        <f aca="false">WEEKNUM(C64,21)</f>
        <v>7</v>
      </c>
    </row>
    <row r="65" customFormat="false" ht="15" hidden="false" customHeight="false" outlineLevel="0" collapsed="false">
      <c r="A65" s="28" t="n">
        <v>64</v>
      </c>
      <c r="B65" s="28" t="s">
        <v>224</v>
      </c>
      <c r="C65" s="29" t="n">
        <v>46066</v>
      </c>
      <c r="D65" s="28" t="s">
        <v>129</v>
      </c>
      <c r="E65" s="28" t="s">
        <v>225</v>
      </c>
      <c r="F65" s="28" t="s">
        <v>93</v>
      </c>
      <c r="G65" s="28" t="n">
        <v>25</v>
      </c>
      <c r="H65" s="28" t="s">
        <v>94</v>
      </c>
      <c r="I65" s="28" t="str">
        <f aca="false">TEXT(C65,"yyyy-mm")</f>
        <v>2026-02</v>
      </c>
      <c r="J65" s="28" t="n">
        <f aca="false">WEEKNUM(C65,21)</f>
        <v>7</v>
      </c>
    </row>
    <row r="66" customFormat="false" ht="15" hidden="false" customHeight="false" outlineLevel="0" collapsed="false">
      <c r="A66" s="28" t="n">
        <v>65</v>
      </c>
      <c r="B66" s="28" t="s">
        <v>226</v>
      </c>
      <c r="C66" s="29" t="n">
        <v>46066</v>
      </c>
      <c r="D66" s="28" t="s">
        <v>91</v>
      </c>
      <c r="E66" s="28" t="s">
        <v>227</v>
      </c>
      <c r="F66" s="28" t="s">
        <v>93</v>
      </c>
      <c r="G66" s="28" t="n">
        <v>20</v>
      </c>
      <c r="H66" s="28" t="s">
        <v>94</v>
      </c>
      <c r="I66" s="28" t="str">
        <f aca="false">TEXT(C66,"yyyy-mm")</f>
        <v>2026-02</v>
      </c>
      <c r="J66" s="28" t="n">
        <f aca="false">WEEKNUM(C66,21)</f>
        <v>7</v>
      </c>
    </row>
    <row r="67" customFormat="false" ht="15" hidden="false" customHeight="false" outlineLevel="0" collapsed="false">
      <c r="A67" s="28" t="n">
        <v>66</v>
      </c>
      <c r="B67" s="28" t="s">
        <v>228</v>
      </c>
      <c r="C67" s="29" t="n">
        <v>46069</v>
      </c>
      <c r="D67" s="28" t="s">
        <v>96</v>
      </c>
      <c r="E67" s="28" t="s">
        <v>229</v>
      </c>
      <c r="F67" s="28" t="s">
        <v>93</v>
      </c>
      <c r="G67" s="28" t="n">
        <v>50</v>
      </c>
      <c r="H67" s="28" t="s">
        <v>94</v>
      </c>
      <c r="I67" s="28" t="str">
        <f aca="false">TEXT(C67,"yyyy-mm")</f>
        <v>2026-02</v>
      </c>
      <c r="J67" s="28" t="n">
        <f aca="false">WEEKNUM(C67,21)</f>
        <v>8</v>
      </c>
    </row>
    <row r="68" customFormat="false" ht="15" hidden="false" customHeight="false" outlineLevel="0" collapsed="false">
      <c r="A68" s="28" t="n">
        <v>67</v>
      </c>
      <c r="B68" s="28" t="s">
        <v>230</v>
      </c>
      <c r="C68" s="29" t="n">
        <v>46069</v>
      </c>
      <c r="D68" s="28" t="s">
        <v>91</v>
      </c>
      <c r="E68" s="28" t="s">
        <v>231</v>
      </c>
      <c r="F68" s="28" t="s">
        <v>93</v>
      </c>
      <c r="G68" s="28" t="n">
        <v>25</v>
      </c>
      <c r="H68" s="28" t="s">
        <v>94</v>
      </c>
      <c r="I68" s="28" t="str">
        <f aca="false">TEXT(C68,"yyyy-mm")</f>
        <v>2026-02</v>
      </c>
      <c r="J68" s="28" t="n">
        <f aca="false">WEEKNUM(C68,21)</f>
        <v>8</v>
      </c>
    </row>
    <row r="69" customFormat="false" ht="15" hidden="false" customHeight="false" outlineLevel="0" collapsed="false">
      <c r="A69" s="28" t="n">
        <v>68</v>
      </c>
      <c r="B69" s="28" t="s">
        <v>232</v>
      </c>
      <c r="C69" s="29" t="n">
        <v>46070</v>
      </c>
      <c r="D69" s="28" t="s">
        <v>104</v>
      </c>
      <c r="E69" s="28" t="s">
        <v>233</v>
      </c>
      <c r="F69" s="28" t="s">
        <v>93</v>
      </c>
      <c r="G69" s="28" t="n">
        <v>55</v>
      </c>
      <c r="H69" s="28" t="s">
        <v>94</v>
      </c>
      <c r="I69" s="28" t="str">
        <f aca="false">TEXT(C69,"yyyy-mm")</f>
        <v>2026-02</v>
      </c>
      <c r="J69" s="28" t="n">
        <f aca="false">WEEKNUM(C69,21)</f>
        <v>8</v>
      </c>
    </row>
    <row r="70" customFormat="false" ht="15" hidden="false" customHeight="false" outlineLevel="0" collapsed="false">
      <c r="A70" s="28" t="n">
        <v>69</v>
      </c>
      <c r="B70" s="30" t="s">
        <v>234</v>
      </c>
      <c r="C70" s="29" t="n">
        <v>46070</v>
      </c>
      <c r="D70" s="28" t="s">
        <v>91</v>
      </c>
      <c r="E70" s="28" t="s">
        <v>235</v>
      </c>
      <c r="F70" s="28"/>
      <c r="G70" s="28" t="n">
        <v>20</v>
      </c>
      <c r="H70" s="28" t="s">
        <v>94</v>
      </c>
      <c r="I70" s="28" t="str">
        <f aca="false">TEXT(C70,"yyyy-mm")</f>
        <v>2026-02</v>
      </c>
      <c r="J70" s="28" t="n">
        <f aca="false">WEEKNUM(C70,21)</f>
        <v>8</v>
      </c>
      <c r="K70" s="31" t="s">
        <v>122</v>
      </c>
      <c r="L70" s="5" t="s">
        <v>123</v>
      </c>
    </row>
    <row r="71" customFormat="false" ht="15" hidden="false" customHeight="false" outlineLevel="0" collapsed="false">
      <c r="A71" s="28" t="n">
        <v>70</v>
      </c>
      <c r="B71" s="28" t="s">
        <v>236</v>
      </c>
      <c r="C71" s="29" t="n">
        <v>46071</v>
      </c>
      <c r="D71" s="28" t="s">
        <v>96</v>
      </c>
      <c r="E71" s="28" t="s">
        <v>237</v>
      </c>
      <c r="F71" s="28" t="s">
        <v>93</v>
      </c>
      <c r="G71" s="28" t="n">
        <v>45</v>
      </c>
      <c r="H71" s="28" t="s">
        <v>94</v>
      </c>
      <c r="I71" s="28" t="str">
        <f aca="false">TEXT(C71,"yyyy-mm")</f>
        <v>2026-02</v>
      </c>
      <c r="J71" s="28" t="n">
        <f aca="false">WEEKNUM(C71,21)</f>
        <v>8</v>
      </c>
    </row>
    <row r="72" customFormat="false" ht="15" hidden="false" customHeight="false" outlineLevel="0" collapsed="false">
      <c r="A72" s="28" t="n">
        <v>71</v>
      </c>
      <c r="B72" s="28" t="s">
        <v>238</v>
      </c>
      <c r="C72" s="29" t="n">
        <v>46071</v>
      </c>
      <c r="D72" s="28" t="s">
        <v>99</v>
      </c>
      <c r="E72" s="28" t="s">
        <v>239</v>
      </c>
      <c r="F72" s="28" t="s">
        <v>93</v>
      </c>
      <c r="G72" s="28" t="n">
        <v>10</v>
      </c>
      <c r="H72" s="28" t="s">
        <v>94</v>
      </c>
      <c r="I72" s="28" t="str">
        <f aca="false">TEXT(C72,"yyyy-mm")</f>
        <v>2026-02</v>
      </c>
      <c r="J72" s="28" t="n">
        <f aca="false">WEEKNUM(C72,21)</f>
        <v>8</v>
      </c>
    </row>
    <row r="73" customFormat="false" ht="15" hidden="false" customHeight="false" outlineLevel="0" collapsed="false">
      <c r="A73" s="28" t="n">
        <v>72</v>
      </c>
      <c r="B73" s="28" t="s">
        <v>240</v>
      </c>
      <c r="C73" s="29" t="n">
        <v>46072</v>
      </c>
      <c r="D73" s="28" t="s">
        <v>91</v>
      </c>
      <c r="E73" s="28" t="s">
        <v>241</v>
      </c>
      <c r="F73" s="28" t="s">
        <v>93</v>
      </c>
      <c r="G73" s="28" t="n">
        <v>20</v>
      </c>
      <c r="H73" s="28" t="s">
        <v>94</v>
      </c>
      <c r="I73" s="28" t="str">
        <f aca="false">TEXT(C73,"yyyy-mm")</f>
        <v>2026-02</v>
      </c>
      <c r="J73" s="28" t="n">
        <f aca="false">WEEKNUM(C73,21)</f>
        <v>8</v>
      </c>
    </row>
    <row r="74" customFormat="false" ht="15" hidden="false" customHeight="false" outlineLevel="0" collapsed="false">
      <c r="A74" s="28" t="n">
        <v>73</v>
      </c>
      <c r="B74" s="28" t="s">
        <v>242</v>
      </c>
      <c r="C74" s="29" t="n">
        <v>46072</v>
      </c>
      <c r="D74" s="28" t="s">
        <v>91</v>
      </c>
      <c r="E74" s="28" t="s">
        <v>243</v>
      </c>
      <c r="F74" s="28" t="s">
        <v>93</v>
      </c>
      <c r="G74" s="28" t="n">
        <v>25</v>
      </c>
      <c r="H74" s="28" t="s">
        <v>94</v>
      </c>
      <c r="I74" s="28" t="str">
        <f aca="false">TEXT(C74,"yyyy-mm")</f>
        <v>2026-02</v>
      </c>
      <c r="J74" s="28" t="n">
        <f aca="false">WEEKNUM(C74,21)</f>
        <v>8</v>
      </c>
    </row>
    <row r="75" customFormat="false" ht="15" hidden="false" customHeight="false" outlineLevel="0" collapsed="false">
      <c r="A75" s="28" t="n">
        <v>74</v>
      </c>
      <c r="B75" s="28" t="s">
        <v>244</v>
      </c>
      <c r="C75" s="29" t="n">
        <v>46073</v>
      </c>
      <c r="D75" s="28" t="s">
        <v>96</v>
      </c>
      <c r="E75" s="28" t="s">
        <v>245</v>
      </c>
      <c r="F75" s="28" t="s">
        <v>93</v>
      </c>
      <c r="G75" s="28" t="n">
        <v>45</v>
      </c>
      <c r="H75" s="28" t="s">
        <v>94</v>
      </c>
      <c r="I75" s="28" t="str">
        <f aca="false">TEXT(C75,"yyyy-mm")</f>
        <v>2026-02</v>
      </c>
      <c r="J75" s="28" t="n">
        <f aca="false">WEEKNUM(C75,21)</f>
        <v>8</v>
      </c>
    </row>
    <row r="76" customFormat="false" ht="15" hidden="false" customHeight="false" outlineLevel="0" collapsed="false">
      <c r="A76" s="28" t="n">
        <v>75</v>
      </c>
      <c r="B76" s="28" t="s">
        <v>246</v>
      </c>
      <c r="C76" s="29" t="n">
        <v>46073</v>
      </c>
      <c r="D76" s="28" t="s">
        <v>104</v>
      </c>
      <c r="E76" s="28" t="s">
        <v>247</v>
      </c>
      <c r="F76" s="28" t="s">
        <v>93</v>
      </c>
      <c r="G76" s="28" t="n">
        <v>50</v>
      </c>
      <c r="H76" s="28" t="s">
        <v>94</v>
      </c>
      <c r="I76" s="28" t="str">
        <f aca="false">TEXT(C76,"yyyy-mm")</f>
        <v>2026-02</v>
      </c>
      <c r="J76" s="28" t="n">
        <f aca="false">WEEKNUM(C76,21)</f>
        <v>8</v>
      </c>
    </row>
    <row r="77" customFormat="false" ht="15" hidden="false" customHeight="false" outlineLevel="0" collapsed="false">
      <c r="A77" s="28" t="n">
        <v>76</v>
      </c>
      <c r="B77" s="28" t="s">
        <v>248</v>
      </c>
      <c r="C77" s="29" t="n">
        <v>46076</v>
      </c>
      <c r="D77" s="28" t="s">
        <v>91</v>
      </c>
      <c r="E77" s="28" t="s">
        <v>249</v>
      </c>
      <c r="F77" s="28" t="s">
        <v>93</v>
      </c>
      <c r="G77" s="28" t="n">
        <v>20</v>
      </c>
      <c r="H77" s="28" t="s">
        <v>94</v>
      </c>
      <c r="I77" s="28" t="str">
        <f aca="false">TEXT(C77,"yyyy-mm")</f>
        <v>2026-02</v>
      </c>
      <c r="J77" s="28" t="n">
        <f aca="false">WEEKNUM(C77,21)</f>
        <v>9</v>
      </c>
    </row>
    <row r="78" customFormat="false" ht="15" hidden="false" customHeight="false" outlineLevel="0" collapsed="false">
      <c r="A78" s="28" t="n">
        <v>77</v>
      </c>
      <c r="B78" s="28" t="s">
        <v>250</v>
      </c>
      <c r="C78" s="29" t="n">
        <v>46076</v>
      </c>
      <c r="D78" s="28" t="s">
        <v>91</v>
      </c>
      <c r="E78" s="28" t="s">
        <v>251</v>
      </c>
      <c r="F78" s="28" t="s">
        <v>93</v>
      </c>
      <c r="G78" s="28" t="n">
        <v>25</v>
      </c>
      <c r="H78" s="28" t="s">
        <v>94</v>
      </c>
      <c r="I78" s="28" t="str">
        <f aca="false">TEXT(C78,"yyyy-mm")</f>
        <v>2026-02</v>
      </c>
      <c r="J78" s="28" t="n">
        <f aca="false">WEEKNUM(C78,21)</f>
        <v>9</v>
      </c>
    </row>
    <row r="79" customFormat="false" ht="15" hidden="false" customHeight="false" outlineLevel="0" collapsed="false">
      <c r="A79" s="28" t="n">
        <v>78</v>
      </c>
      <c r="B79" s="28" t="s">
        <v>252</v>
      </c>
      <c r="C79" s="29" t="n">
        <v>46077</v>
      </c>
      <c r="D79" s="28" t="s">
        <v>96</v>
      </c>
      <c r="E79" s="28" t="s">
        <v>253</v>
      </c>
      <c r="F79" s="28" t="s">
        <v>93</v>
      </c>
      <c r="G79" s="28" t="n">
        <v>45</v>
      </c>
      <c r="H79" s="28" t="s">
        <v>94</v>
      </c>
      <c r="I79" s="28" t="str">
        <f aca="false">TEXT(C79,"yyyy-mm")</f>
        <v>2026-02</v>
      </c>
      <c r="J79" s="28" t="n">
        <f aca="false">WEEKNUM(C79,21)</f>
        <v>9</v>
      </c>
    </row>
    <row r="80" customFormat="false" ht="15" hidden="false" customHeight="false" outlineLevel="0" collapsed="false">
      <c r="A80" s="28" t="n">
        <v>79</v>
      </c>
      <c r="B80" s="28" t="s">
        <v>254</v>
      </c>
      <c r="C80" s="29" t="n">
        <v>46077</v>
      </c>
      <c r="D80" s="28" t="s">
        <v>129</v>
      </c>
      <c r="E80" s="28" t="s">
        <v>255</v>
      </c>
      <c r="F80" s="28" t="s">
        <v>93</v>
      </c>
      <c r="G80" s="28" t="n">
        <v>25</v>
      </c>
      <c r="H80" s="28" t="s">
        <v>94</v>
      </c>
      <c r="I80" s="28" t="str">
        <f aca="false">TEXT(C80,"yyyy-mm")</f>
        <v>2026-02</v>
      </c>
      <c r="J80" s="28" t="n">
        <f aca="false">WEEKNUM(C80,21)</f>
        <v>9</v>
      </c>
    </row>
    <row r="81" customFormat="false" ht="15" hidden="false" customHeight="false" outlineLevel="0" collapsed="false">
      <c r="A81" s="28" t="n">
        <v>80</v>
      </c>
      <c r="B81" s="28" t="s">
        <v>256</v>
      </c>
      <c r="C81" s="29" t="n">
        <v>46078</v>
      </c>
      <c r="D81" s="28" t="s">
        <v>91</v>
      </c>
      <c r="E81" s="28" t="s">
        <v>257</v>
      </c>
      <c r="F81" s="28" t="s">
        <v>93</v>
      </c>
      <c r="G81" s="28" t="n">
        <v>20</v>
      </c>
      <c r="H81" s="28" t="s">
        <v>94</v>
      </c>
      <c r="I81" s="28" t="str">
        <f aca="false">TEXT(C81,"yyyy-mm")</f>
        <v>2026-02</v>
      </c>
      <c r="J81" s="28" t="n">
        <f aca="false">WEEKNUM(C81,21)</f>
        <v>9</v>
      </c>
    </row>
    <row r="82" customFormat="false" ht="15" hidden="false" customHeight="false" outlineLevel="0" collapsed="false">
      <c r="A82" s="28" t="n">
        <v>81</v>
      </c>
      <c r="B82" s="28" t="s">
        <v>258</v>
      </c>
      <c r="C82" s="29" t="n">
        <v>46078</v>
      </c>
      <c r="D82" s="28" t="s">
        <v>99</v>
      </c>
      <c r="E82" s="28" t="s">
        <v>259</v>
      </c>
      <c r="F82" s="28" t="s">
        <v>93</v>
      </c>
      <c r="G82" s="28" t="n">
        <v>10</v>
      </c>
      <c r="H82" s="28" t="s">
        <v>94</v>
      </c>
      <c r="I82" s="28" t="str">
        <f aca="false">TEXT(C82,"yyyy-mm")</f>
        <v>2026-02</v>
      </c>
      <c r="J82" s="28" t="n">
        <f aca="false">WEEKNUM(C82,21)</f>
        <v>9</v>
      </c>
    </row>
    <row r="83" customFormat="false" ht="15" hidden="false" customHeight="false" outlineLevel="0" collapsed="false">
      <c r="A83" s="28" t="n">
        <v>82</v>
      </c>
      <c r="B83" s="28" t="s">
        <v>260</v>
      </c>
      <c r="C83" s="29" t="n">
        <v>46079</v>
      </c>
      <c r="D83" s="28" t="s">
        <v>96</v>
      </c>
      <c r="E83" s="28" t="s">
        <v>261</v>
      </c>
      <c r="F83" s="28" t="s">
        <v>93</v>
      </c>
      <c r="G83" s="28" t="n">
        <v>50</v>
      </c>
      <c r="H83" s="28" t="s">
        <v>94</v>
      </c>
      <c r="I83" s="28" t="str">
        <f aca="false">TEXT(C83,"yyyy-mm")</f>
        <v>2026-02</v>
      </c>
      <c r="J83" s="28" t="n">
        <f aca="false">WEEKNUM(C83,21)</f>
        <v>9</v>
      </c>
    </row>
    <row r="84" customFormat="false" ht="15" hidden="false" customHeight="false" outlineLevel="0" collapsed="false">
      <c r="A84" s="28" t="n">
        <v>83</v>
      </c>
      <c r="B84" s="28" t="s">
        <v>262</v>
      </c>
      <c r="C84" s="29" t="n">
        <v>46079</v>
      </c>
      <c r="D84" s="28" t="s">
        <v>91</v>
      </c>
      <c r="E84" s="28" t="s">
        <v>263</v>
      </c>
      <c r="F84" s="28" t="s">
        <v>93</v>
      </c>
      <c r="G84" s="28" t="n">
        <v>25</v>
      </c>
      <c r="H84" s="28" t="s">
        <v>94</v>
      </c>
      <c r="I84" s="28" t="str">
        <f aca="false">TEXT(C84,"yyyy-mm")</f>
        <v>2026-02</v>
      </c>
      <c r="J84" s="28" t="n">
        <f aca="false">WEEKNUM(C84,21)</f>
        <v>9</v>
      </c>
    </row>
    <row r="85" customFormat="false" ht="15" hidden="false" customHeight="false" outlineLevel="0" collapsed="false">
      <c r="A85" s="28" t="n">
        <v>84</v>
      </c>
      <c r="B85" s="28" t="s">
        <v>264</v>
      </c>
      <c r="C85" s="29" t="n">
        <v>46080</v>
      </c>
      <c r="D85" s="28" t="s">
        <v>104</v>
      </c>
      <c r="E85" s="28" t="s">
        <v>265</v>
      </c>
      <c r="F85" s="28" t="s">
        <v>93</v>
      </c>
      <c r="G85" s="28" t="n">
        <v>55</v>
      </c>
      <c r="H85" s="28" t="s">
        <v>94</v>
      </c>
      <c r="I85" s="28" t="str">
        <f aca="false">TEXT(C85,"yyyy-mm")</f>
        <v>2026-02</v>
      </c>
      <c r="J85" s="28" t="n">
        <f aca="false">WEEKNUM(C85,21)</f>
        <v>9</v>
      </c>
    </row>
    <row r="86" customFormat="false" ht="15" hidden="false" customHeight="false" outlineLevel="0" collapsed="false">
      <c r="A86" s="28" t="n">
        <v>85</v>
      </c>
      <c r="B86" s="28" t="s">
        <v>266</v>
      </c>
      <c r="C86" s="29" t="n">
        <v>46080</v>
      </c>
      <c r="D86" s="28" t="s">
        <v>91</v>
      </c>
      <c r="E86" s="28" t="s">
        <v>267</v>
      </c>
      <c r="F86" s="28" t="s">
        <v>93</v>
      </c>
      <c r="G86" s="28" t="n">
        <v>20</v>
      </c>
      <c r="H86" s="28" t="s">
        <v>94</v>
      </c>
      <c r="I86" s="28" t="str">
        <f aca="false">TEXT(C86,"yyyy-mm")</f>
        <v>2026-02</v>
      </c>
      <c r="J86" s="28" t="n">
        <f aca="false">WEEKNUM(C86,21)</f>
        <v>9</v>
      </c>
    </row>
    <row r="87" customFormat="false" ht="15" hidden="false" customHeight="false" outlineLevel="0" collapsed="false">
      <c r="A87" s="28" t="n">
        <v>86</v>
      </c>
      <c r="B87" s="28" t="s">
        <v>268</v>
      </c>
      <c r="C87" s="29" t="n">
        <v>46083</v>
      </c>
      <c r="D87" s="28" t="s">
        <v>96</v>
      </c>
      <c r="E87" s="28" t="s">
        <v>269</v>
      </c>
      <c r="F87" s="28" t="s">
        <v>93</v>
      </c>
      <c r="G87" s="28" t="n">
        <v>45</v>
      </c>
      <c r="H87" s="28" t="s">
        <v>94</v>
      </c>
      <c r="I87" s="28" t="str">
        <f aca="false">TEXT(C87,"yyyy-mm")</f>
        <v>2026-03</v>
      </c>
      <c r="J87" s="28" t="n">
        <f aca="false">WEEKNUM(C87,21)</f>
        <v>10</v>
      </c>
    </row>
    <row r="88" customFormat="false" ht="15" hidden="false" customHeight="false" outlineLevel="0" collapsed="false">
      <c r="A88" s="28" t="n">
        <v>87</v>
      </c>
      <c r="B88" s="28" t="s">
        <v>270</v>
      </c>
      <c r="C88" s="29" t="n">
        <v>46083</v>
      </c>
      <c r="D88" s="28" t="s">
        <v>91</v>
      </c>
      <c r="E88" s="28" t="s">
        <v>271</v>
      </c>
      <c r="F88" s="28" t="s">
        <v>93</v>
      </c>
      <c r="G88" s="28" t="n">
        <v>25</v>
      </c>
      <c r="H88" s="28" t="s">
        <v>94</v>
      </c>
      <c r="I88" s="28" t="str">
        <f aca="false">TEXT(C88,"yyyy-mm")</f>
        <v>2026-03</v>
      </c>
      <c r="J88" s="28" t="n">
        <f aca="false">WEEKNUM(C88,21)</f>
        <v>10</v>
      </c>
    </row>
    <row r="89" customFormat="false" ht="15" hidden="false" customHeight="false" outlineLevel="0" collapsed="false">
      <c r="A89" s="28" t="n">
        <v>88</v>
      </c>
      <c r="B89" s="28" t="s">
        <v>272</v>
      </c>
      <c r="C89" s="29" t="n">
        <v>46084</v>
      </c>
      <c r="D89" s="28" t="s">
        <v>91</v>
      </c>
      <c r="E89" s="28" t="s">
        <v>273</v>
      </c>
      <c r="F89" s="28" t="s">
        <v>93</v>
      </c>
      <c r="G89" s="28" t="n">
        <v>20</v>
      </c>
      <c r="H89" s="28" t="s">
        <v>94</v>
      </c>
      <c r="I89" s="28" t="str">
        <f aca="false">TEXT(C89,"yyyy-mm")</f>
        <v>2026-03</v>
      </c>
      <c r="J89" s="28" t="n">
        <f aca="false">WEEKNUM(C89,21)</f>
        <v>10</v>
      </c>
    </row>
    <row r="90" customFormat="false" ht="15" hidden="false" customHeight="false" outlineLevel="0" collapsed="false">
      <c r="A90" s="28" t="n">
        <v>89</v>
      </c>
      <c r="B90" s="28" t="s">
        <v>274</v>
      </c>
      <c r="C90" s="29" t="n">
        <v>46084</v>
      </c>
      <c r="D90" s="28" t="s">
        <v>96</v>
      </c>
      <c r="E90" s="28" t="s">
        <v>275</v>
      </c>
      <c r="F90" s="28" t="s">
        <v>93</v>
      </c>
      <c r="G90" s="28" t="n">
        <v>45</v>
      </c>
      <c r="H90" s="28" t="s">
        <v>94</v>
      </c>
      <c r="I90" s="28" t="str">
        <f aca="false">TEXT(C90,"yyyy-mm")</f>
        <v>2026-03</v>
      </c>
      <c r="J90" s="28" t="n">
        <f aca="false">WEEKNUM(C90,21)</f>
        <v>10</v>
      </c>
    </row>
    <row r="91" customFormat="false" ht="15" hidden="false" customHeight="false" outlineLevel="0" collapsed="false">
      <c r="A91" s="28" t="n">
        <v>90</v>
      </c>
      <c r="B91" s="28" t="s">
        <v>276</v>
      </c>
      <c r="C91" s="29" t="n">
        <v>46085</v>
      </c>
      <c r="D91" s="28" t="s">
        <v>99</v>
      </c>
      <c r="E91" s="28" t="s">
        <v>277</v>
      </c>
      <c r="F91" s="28" t="s">
        <v>93</v>
      </c>
      <c r="G91" s="28" t="n">
        <v>10</v>
      </c>
      <c r="H91" s="28" t="s">
        <v>94</v>
      </c>
      <c r="I91" s="28" t="str">
        <f aca="false">TEXT(C91,"yyyy-mm")</f>
        <v>2026-03</v>
      </c>
      <c r="J91" s="28" t="n">
        <f aca="false">WEEKNUM(C91,21)</f>
        <v>10</v>
      </c>
    </row>
    <row r="92" customFormat="false" ht="15" hidden="false" customHeight="false" outlineLevel="0" collapsed="false">
      <c r="A92" s="28" t="n">
        <v>91</v>
      </c>
      <c r="B92" s="28" t="s">
        <v>278</v>
      </c>
      <c r="C92" s="29" t="n">
        <v>46085</v>
      </c>
      <c r="D92" s="28" t="s">
        <v>104</v>
      </c>
      <c r="E92" s="28" t="s">
        <v>279</v>
      </c>
      <c r="F92" s="28" t="s">
        <v>93</v>
      </c>
      <c r="G92" s="28" t="n">
        <v>50</v>
      </c>
      <c r="H92" s="28" t="s">
        <v>94</v>
      </c>
      <c r="I92" s="28" t="str">
        <f aca="false">TEXT(C92,"yyyy-mm")</f>
        <v>2026-03</v>
      </c>
      <c r="J92" s="28" t="n">
        <f aca="false">WEEKNUM(C92,21)</f>
        <v>10</v>
      </c>
    </row>
    <row r="93" customFormat="false" ht="15" hidden="false" customHeight="false" outlineLevel="0" collapsed="false">
      <c r="A93" s="28" t="n">
        <v>92</v>
      </c>
      <c r="B93" s="28" t="s">
        <v>280</v>
      </c>
      <c r="C93" s="29" t="n">
        <v>46086</v>
      </c>
      <c r="D93" s="28" t="s">
        <v>91</v>
      </c>
      <c r="E93" s="28" t="s">
        <v>281</v>
      </c>
      <c r="F93" s="28" t="s">
        <v>93</v>
      </c>
      <c r="G93" s="28" t="n">
        <v>20</v>
      </c>
      <c r="H93" s="28" t="s">
        <v>94</v>
      </c>
      <c r="I93" s="28" t="str">
        <f aca="false">TEXT(C93,"yyyy-mm")</f>
        <v>2026-03</v>
      </c>
      <c r="J93" s="28" t="n">
        <f aca="false">WEEKNUM(C93,21)</f>
        <v>10</v>
      </c>
    </row>
    <row r="94" customFormat="false" ht="15" hidden="false" customHeight="false" outlineLevel="0" collapsed="false">
      <c r="A94" s="28" t="n">
        <v>93</v>
      </c>
      <c r="B94" s="28" t="s">
        <v>282</v>
      </c>
      <c r="C94" s="29" t="n">
        <v>46086</v>
      </c>
      <c r="D94" s="28" t="s">
        <v>91</v>
      </c>
      <c r="E94" s="28" t="s">
        <v>283</v>
      </c>
      <c r="F94" s="28" t="s">
        <v>93</v>
      </c>
      <c r="G94" s="28" t="n">
        <v>25</v>
      </c>
      <c r="H94" s="28" t="s">
        <v>94</v>
      </c>
      <c r="I94" s="28" t="str">
        <f aca="false">TEXT(C94,"yyyy-mm")</f>
        <v>2026-03</v>
      </c>
      <c r="J94" s="28" t="n">
        <f aca="false">WEEKNUM(C94,21)</f>
        <v>10</v>
      </c>
    </row>
    <row r="95" customFormat="false" ht="15" hidden="false" customHeight="false" outlineLevel="0" collapsed="false">
      <c r="A95" s="28" t="n">
        <v>94</v>
      </c>
      <c r="B95" s="28" t="s">
        <v>284</v>
      </c>
      <c r="C95" s="29" t="n">
        <v>46087</v>
      </c>
      <c r="D95" s="28" t="s">
        <v>96</v>
      </c>
      <c r="E95" s="28" t="s">
        <v>285</v>
      </c>
      <c r="F95" s="28" t="s">
        <v>93</v>
      </c>
      <c r="G95" s="28" t="n">
        <v>40</v>
      </c>
      <c r="H95" s="28" t="s">
        <v>94</v>
      </c>
      <c r="I95" s="28" t="str">
        <f aca="false">TEXT(C95,"yyyy-mm")</f>
        <v>2026-03</v>
      </c>
      <c r="J95" s="28" t="n">
        <f aca="false">WEEKNUM(C95,21)</f>
        <v>10</v>
      </c>
    </row>
    <row r="96" customFormat="false" ht="15" hidden="false" customHeight="false" outlineLevel="0" collapsed="false">
      <c r="A96" s="28" t="n">
        <v>95</v>
      </c>
      <c r="B96" s="28" t="s">
        <v>286</v>
      </c>
      <c r="C96" s="29" t="n">
        <v>46087</v>
      </c>
      <c r="D96" s="28" t="s">
        <v>158</v>
      </c>
      <c r="E96" s="28" t="s">
        <v>287</v>
      </c>
      <c r="F96" s="28" t="s">
        <v>93</v>
      </c>
      <c r="G96" s="28" t="n">
        <v>45</v>
      </c>
      <c r="H96" s="28" t="s">
        <v>94</v>
      </c>
      <c r="I96" s="28" t="str">
        <f aca="false">TEXT(C96,"yyyy-mm")</f>
        <v>2026-03</v>
      </c>
      <c r="J96" s="28" t="n">
        <f aca="false">WEEKNUM(C96,21)</f>
        <v>10</v>
      </c>
    </row>
    <row r="97" customFormat="false" ht="15" hidden="false" customHeight="false" outlineLevel="0" collapsed="false">
      <c r="A97" s="28" t="n">
        <v>96</v>
      </c>
      <c r="B97" s="28" t="s">
        <v>288</v>
      </c>
      <c r="C97" s="29" t="n">
        <v>46090</v>
      </c>
      <c r="D97" s="28" t="s">
        <v>91</v>
      </c>
      <c r="E97" s="28" t="s">
        <v>289</v>
      </c>
      <c r="F97" s="28" t="s">
        <v>93</v>
      </c>
      <c r="G97" s="28" t="n">
        <v>20</v>
      </c>
      <c r="H97" s="28" t="s">
        <v>94</v>
      </c>
      <c r="I97" s="28" t="str">
        <f aca="false">TEXT(C97,"yyyy-mm")</f>
        <v>2026-03</v>
      </c>
      <c r="J97" s="28" t="n">
        <f aca="false">WEEKNUM(C97,21)</f>
        <v>11</v>
      </c>
    </row>
    <row r="98" customFormat="false" ht="15" hidden="false" customHeight="false" outlineLevel="0" collapsed="false">
      <c r="A98" s="28" t="n">
        <v>97</v>
      </c>
      <c r="B98" s="28" t="s">
        <v>290</v>
      </c>
      <c r="C98" s="29" t="n">
        <v>46090</v>
      </c>
      <c r="D98" s="28" t="s">
        <v>91</v>
      </c>
      <c r="E98" s="28" t="s">
        <v>291</v>
      </c>
      <c r="F98" s="28" t="s">
        <v>93</v>
      </c>
      <c r="G98" s="28" t="n">
        <v>25</v>
      </c>
      <c r="H98" s="28" t="s">
        <v>94</v>
      </c>
      <c r="I98" s="28" t="str">
        <f aca="false">TEXT(C98,"yyyy-mm")</f>
        <v>2026-03</v>
      </c>
      <c r="J98" s="28" t="n">
        <f aca="false">WEEKNUM(C98,21)</f>
        <v>11</v>
      </c>
    </row>
    <row r="99" customFormat="false" ht="15" hidden="false" customHeight="false" outlineLevel="0" collapsed="false">
      <c r="A99" s="28" t="n">
        <v>98</v>
      </c>
      <c r="B99" s="28" t="s">
        <v>292</v>
      </c>
      <c r="C99" s="29" t="n">
        <v>46091</v>
      </c>
      <c r="D99" s="28" t="s">
        <v>96</v>
      </c>
      <c r="E99" s="28" t="s">
        <v>293</v>
      </c>
      <c r="F99" s="28" t="s">
        <v>93</v>
      </c>
      <c r="G99" s="28" t="n">
        <v>45</v>
      </c>
      <c r="H99" s="28" t="s">
        <v>94</v>
      </c>
      <c r="I99" s="28" t="str">
        <f aca="false">TEXT(C99,"yyyy-mm")</f>
        <v>2026-03</v>
      </c>
      <c r="J99" s="28" t="n">
        <f aca="false">WEEKNUM(C99,21)</f>
        <v>11</v>
      </c>
    </row>
    <row r="100" customFormat="false" ht="15" hidden="false" customHeight="false" outlineLevel="0" collapsed="false">
      <c r="A100" s="28" t="n">
        <v>99</v>
      </c>
      <c r="B100" s="28" t="s">
        <v>294</v>
      </c>
      <c r="C100" s="29" t="n">
        <v>46091</v>
      </c>
      <c r="D100" s="28" t="s">
        <v>99</v>
      </c>
      <c r="E100" s="28" t="s">
        <v>295</v>
      </c>
      <c r="F100" s="28" t="s">
        <v>93</v>
      </c>
      <c r="G100" s="28" t="n">
        <v>10</v>
      </c>
      <c r="H100" s="28" t="s">
        <v>94</v>
      </c>
      <c r="I100" s="28" t="str">
        <f aca="false">TEXT(C100,"yyyy-mm")</f>
        <v>2026-03</v>
      </c>
      <c r="J100" s="28" t="n">
        <f aca="false">WEEKNUM(C100,21)</f>
        <v>11</v>
      </c>
    </row>
    <row r="101" customFormat="false" ht="15" hidden="false" customHeight="false" outlineLevel="0" collapsed="false">
      <c r="A101" s="28" t="n">
        <v>100</v>
      </c>
      <c r="B101" s="28" t="s">
        <v>296</v>
      </c>
      <c r="C101" s="29" t="n">
        <v>46092</v>
      </c>
      <c r="D101" s="28" t="s">
        <v>104</v>
      </c>
      <c r="E101" s="28" t="s">
        <v>297</v>
      </c>
      <c r="F101" s="28" t="s">
        <v>93</v>
      </c>
      <c r="G101" s="28" t="n">
        <v>50</v>
      </c>
      <c r="H101" s="28" t="s">
        <v>94</v>
      </c>
      <c r="I101" s="28" t="str">
        <f aca="false">TEXT(C101,"yyyy-mm")</f>
        <v>2026-03</v>
      </c>
      <c r="J101" s="28" t="n">
        <f aca="false">WEEKNUM(C101,21)</f>
        <v>11</v>
      </c>
    </row>
    <row r="102" customFormat="false" ht="15" hidden="false" customHeight="false" outlineLevel="0" collapsed="false">
      <c r="A102" s="28" t="n">
        <v>101</v>
      </c>
      <c r="B102" s="30" t="s">
        <v>298</v>
      </c>
      <c r="C102" s="29" t="n">
        <v>46092</v>
      </c>
      <c r="D102" s="28" t="s">
        <v>91</v>
      </c>
      <c r="E102" s="28" t="s">
        <v>299</v>
      </c>
      <c r="F102" s="28"/>
      <c r="G102" s="28" t="n">
        <v>20</v>
      </c>
      <c r="H102" s="28" t="s">
        <v>94</v>
      </c>
      <c r="I102" s="28" t="str">
        <f aca="false">TEXT(C102,"yyyy-mm")</f>
        <v>2026-03</v>
      </c>
      <c r="J102" s="28" t="n">
        <f aca="false">WEEKNUM(C102,21)</f>
        <v>11</v>
      </c>
      <c r="K102" s="31" t="s">
        <v>122</v>
      </c>
      <c r="L102" s="5" t="s">
        <v>123</v>
      </c>
    </row>
    <row r="103" customFormat="false" ht="15" hidden="false" customHeight="false" outlineLevel="0" collapsed="false">
      <c r="A103" s="28" t="n">
        <v>102</v>
      </c>
      <c r="B103" s="28" t="s">
        <v>300</v>
      </c>
      <c r="C103" s="29" t="n">
        <v>46093</v>
      </c>
      <c r="D103" s="28" t="s">
        <v>96</v>
      </c>
      <c r="E103" s="28" t="s">
        <v>301</v>
      </c>
      <c r="F103" s="28" t="s">
        <v>93</v>
      </c>
      <c r="G103" s="28" t="n">
        <v>45</v>
      </c>
      <c r="H103" s="28" t="s">
        <v>94</v>
      </c>
      <c r="I103" s="28" t="str">
        <f aca="false">TEXT(C103,"yyyy-mm")</f>
        <v>2026-03</v>
      </c>
      <c r="J103" s="28" t="n">
        <f aca="false">WEEKNUM(C103,21)</f>
        <v>11</v>
      </c>
    </row>
    <row r="104" customFormat="false" ht="15" hidden="false" customHeight="false" outlineLevel="0" collapsed="false">
      <c r="A104" s="28" t="n">
        <v>103</v>
      </c>
      <c r="B104" s="28" t="s">
        <v>302</v>
      </c>
      <c r="C104" s="29" t="n">
        <v>46093</v>
      </c>
      <c r="D104" s="28" t="s">
        <v>91</v>
      </c>
      <c r="E104" s="28" t="s">
        <v>303</v>
      </c>
      <c r="F104" s="28" t="s">
        <v>93</v>
      </c>
      <c r="G104" s="28" t="n">
        <v>25</v>
      </c>
      <c r="H104" s="28" t="s">
        <v>94</v>
      </c>
      <c r="I104" s="28" t="str">
        <f aca="false">TEXT(C104,"yyyy-mm")</f>
        <v>2026-03</v>
      </c>
      <c r="J104" s="28" t="n">
        <f aca="false">WEEKNUM(C104,21)</f>
        <v>11</v>
      </c>
    </row>
    <row r="105" customFormat="false" ht="15" hidden="false" customHeight="false" outlineLevel="0" collapsed="false">
      <c r="A105" s="28" t="n">
        <v>104</v>
      </c>
      <c r="B105" s="28" t="s">
        <v>304</v>
      </c>
      <c r="C105" s="29" t="n">
        <v>46094</v>
      </c>
      <c r="D105" s="28" t="s">
        <v>129</v>
      </c>
      <c r="E105" s="28" t="s">
        <v>305</v>
      </c>
      <c r="F105" s="28" t="s">
        <v>93</v>
      </c>
      <c r="G105" s="28" t="n">
        <v>25</v>
      </c>
      <c r="H105" s="28" t="s">
        <v>94</v>
      </c>
      <c r="I105" s="28" t="str">
        <f aca="false">TEXT(C105,"yyyy-mm")</f>
        <v>2026-03</v>
      </c>
      <c r="J105" s="28" t="n">
        <f aca="false">WEEKNUM(C105,21)</f>
        <v>11</v>
      </c>
    </row>
    <row r="106" customFormat="false" ht="15" hidden="false" customHeight="false" outlineLevel="0" collapsed="false">
      <c r="A106" s="28" t="n">
        <v>105</v>
      </c>
      <c r="B106" s="28" t="s">
        <v>306</v>
      </c>
      <c r="C106" s="29" t="n">
        <v>46094</v>
      </c>
      <c r="D106" s="28" t="s">
        <v>91</v>
      </c>
      <c r="E106" s="28" t="s">
        <v>307</v>
      </c>
      <c r="F106" s="28" t="s">
        <v>93</v>
      </c>
      <c r="G106" s="28" t="n">
        <v>20</v>
      </c>
      <c r="H106" s="28" t="s">
        <v>94</v>
      </c>
      <c r="I106" s="28" t="str">
        <f aca="false">TEXT(C106,"yyyy-mm")</f>
        <v>2026-03</v>
      </c>
      <c r="J106" s="28" t="n">
        <f aca="false">WEEKNUM(C106,21)</f>
        <v>11</v>
      </c>
    </row>
    <row r="107" customFormat="false" ht="15" hidden="false" customHeight="false" outlineLevel="0" collapsed="false">
      <c r="A107" s="28" t="n">
        <v>106</v>
      </c>
      <c r="B107" s="28" t="s">
        <v>308</v>
      </c>
      <c r="C107" s="29" t="n">
        <v>46097</v>
      </c>
      <c r="D107" s="28" t="s">
        <v>96</v>
      </c>
      <c r="E107" s="28" t="s">
        <v>309</v>
      </c>
      <c r="F107" s="28" t="s">
        <v>93</v>
      </c>
      <c r="G107" s="28" t="n">
        <v>50</v>
      </c>
      <c r="H107" s="28" t="s">
        <v>94</v>
      </c>
      <c r="I107" s="28" t="str">
        <f aca="false">TEXT(C107,"yyyy-mm")</f>
        <v>2026-03</v>
      </c>
      <c r="J107" s="28" t="n">
        <f aca="false">WEEKNUM(C107,21)</f>
        <v>12</v>
      </c>
    </row>
    <row r="108" customFormat="false" ht="15" hidden="false" customHeight="false" outlineLevel="0" collapsed="false">
      <c r="A108" s="28" t="n">
        <v>107</v>
      </c>
      <c r="B108" s="28" t="s">
        <v>310</v>
      </c>
      <c r="C108" s="29" t="n">
        <v>46097</v>
      </c>
      <c r="D108" s="28" t="s">
        <v>91</v>
      </c>
      <c r="E108" s="28" t="s">
        <v>311</v>
      </c>
      <c r="F108" s="28" t="s">
        <v>93</v>
      </c>
      <c r="G108" s="28" t="n">
        <v>25</v>
      </c>
      <c r="H108" s="28" t="s">
        <v>94</v>
      </c>
      <c r="I108" s="28" t="str">
        <f aca="false">TEXT(C108,"yyyy-mm")</f>
        <v>2026-03</v>
      </c>
      <c r="J108" s="28" t="n">
        <f aca="false">WEEKNUM(C108,21)</f>
        <v>12</v>
      </c>
    </row>
    <row r="109" customFormat="false" ht="15" hidden="false" customHeight="false" outlineLevel="0" collapsed="false">
      <c r="A109" s="28" t="n">
        <v>108</v>
      </c>
      <c r="B109" s="28" t="s">
        <v>312</v>
      </c>
      <c r="C109" s="29" t="n">
        <v>46098</v>
      </c>
      <c r="D109" s="28" t="s">
        <v>104</v>
      </c>
      <c r="E109" s="28" t="s">
        <v>313</v>
      </c>
      <c r="F109" s="28" t="s">
        <v>93</v>
      </c>
      <c r="G109" s="28" t="n">
        <v>55</v>
      </c>
      <c r="H109" s="28" t="s">
        <v>94</v>
      </c>
      <c r="I109" s="28" t="str">
        <f aca="false">TEXT(C109,"yyyy-mm")</f>
        <v>2026-03</v>
      </c>
      <c r="J109" s="28" t="n">
        <f aca="false">WEEKNUM(C109,21)</f>
        <v>12</v>
      </c>
    </row>
    <row r="110" customFormat="false" ht="15" hidden="false" customHeight="false" outlineLevel="0" collapsed="false">
      <c r="A110" s="28" t="n">
        <v>109</v>
      </c>
      <c r="B110" s="28" t="s">
        <v>314</v>
      </c>
      <c r="C110" s="29" t="n">
        <v>46098</v>
      </c>
      <c r="D110" s="28" t="s">
        <v>91</v>
      </c>
      <c r="E110" s="28" t="s">
        <v>315</v>
      </c>
      <c r="F110" s="28" t="s">
        <v>93</v>
      </c>
      <c r="G110" s="28" t="n">
        <v>20</v>
      </c>
      <c r="H110" s="28" t="s">
        <v>94</v>
      </c>
      <c r="I110" s="28" t="str">
        <f aca="false">TEXT(C110,"yyyy-mm")</f>
        <v>2026-03</v>
      </c>
      <c r="J110" s="28" t="n">
        <f aca="false">WEEKNUM(C110,21)</f>
        <v>12</v>
      </c>
    </row>
    <row r="111" customFormat="false" ht="15" hidden="false" customHeight="false" outlineLevel="0" collapsed="false">
      <c r="A111" s="28" t="n">
        <v>110</v>
      </c>
      <c r="B111" s="28" t="s">
        <v>316</v>
      </c>
      <c r="C111" s="29" t="n">
        <v>46099</v>
      </c>
      <c r="D111" s="28" t="s">
        <v>96</v>
      </c>
      <c r="E111" s="28" t="s">
        <v>317</v>
      </c>
      <c r="F111" s="28" t="s">
        <v>93</v>
      </c>
      <c r="G111" s="28" t="n">
        <v>45</v>
      </c>
      <c r="H111" s="28" t="s">
        <v>94</v>
      </c>
      <c r="I111" s="28" t="str">
        <f aca="false">TEXT(C111,"yyyy-mm")</f>
        <v>2026-03</v>
      </c>
      <c r="J111" s="28" t="n">
        <f aca="false">WEEKNUM(C111,21)</f>
        <v>12</v>
      </c>
    </row>
    <row r="112" customFormat="false" ht="15" hidden="false" customHeight="false" outlineLevel="0" collapsed="false">
      <c r="A112" s="28" t="n">
        <v>111</v>
      </c>
      <c r="B112" s="28" t="s">
        <v>318</v>
      </c>
      <c r="C112" s="29" t="n">
        <v>46099</v>
      </c>
      <c r="D112" s="28" t="s">
        <v>99</v>
      </c>
      <c r="E112" s="28" t="s">
        <v>319</v>
      </c>
      <c r="F112" s="28" t="s">
        <v>93</v>
      </c>
      <c r="G112" s="28" t="n">
        <v>10</v>
      </c>
      <c r="H112" s="28" t="s">
        <v>94</v>
      </c>
      <c r="I112" s="28" t="str">
        <f aca="false">TEXT(C112,"yyyy-mm")</f>
        <v>2026-03</v>
      </c>
      <c r="J112" s="28" t="n">
        <f aca="false">WEEKNUM(C112,21)</f>
        <v>12</v>
      </c>
    </row>
    <row r="113" customFormat="false" ht="15" hidden="false" customHeight="false" outlineLevel="0" collapsed="false">
      <c r="A113" s="28" t="n">
        <v>112</v>
      </c>
      <c r="B113" s="28" t="s">
        <v>320</v>
      </c>
      <c r="C113" s="29" t="n">
        <v>46100</v>
      </c>
      <c r="D113" s="28" t="s">
        <v>91</v>
      </c>
      <c r="E113" s="28" t="s">
        <v>321</v>
      </c>
      <c r="F113" s="28" t="s">
        <v>93</v>
      </c>
      <c r="G113" s="28" t="n">
        <v>20</v>
      </c>
      <c r="H113" s="28" t="s">
        <v>94</v>
      </c>
      <c r="I113" s="28" t="str">
        <f aca="false">TEXT(C113,"yyyy-mm")</f>
        <v>2026-03</v>
      </c>
      <c r="J113" s="28" t="n">
        <f aca="false">WEEKNUM(C113,21)</f>
        <v>12</v>
      </c>
    </row>
    <row r="114" customFormat="false" ht="15" hidden="false" customHeight="false" outlineLevel="0" collapsed="false">
      <c r="A114" s="28" t="n">
        <v>113</v>
      </c>
      <c r="B114" s="28" t="s">
        <v>322</v>
      </c>
      <c r="C114" s="29" t="n">
        <v>46100</v>
      </c>
      <c r="D114" s="28" t="s">
        <v>91</v>
      </c>
      <c r="E114" s="28" t="s">
        <v>323</v>
      </c>
      <c r="F114" s="28" t="s">
        <v>93</v>
      </c>
      <c r="G114" s="28" t="n">
        <v>25</v>
      </c>
      <c r="H114" s="28" t="s">
        <v>94</v>
      </c>
      <c r="I114" s="28" t="str">
        <f aca="false">TEXT(C114,"yyyy-mm")</f>
        <v>2026-03</v>
      </c>
      <c r="J114" s="28" t="n">
        <f aca="false">WEEKNUM(C114,21)</f>
        <v>12</v>
      </c>
    </row>
    <row r="115" customFormat="false" ht="15" hidden="false" customHeight="false" outlineLevel="0" collapsed="false">
      <c r="A115" s="28" t="n">
        <v>114</v>
      </c>
      <c r="B115" s="28" t="s">
        <v>324</v>
      </c>
      <c r="C115" s="29" t="n">
        <v>46101</v>
      </c>
      <c r="D115" s="28" t="s">
        <v>96</v>
      </c>
      <c r="E115" s="28" t="s">
        <v>325</v>
      </c>
      <c r="F115" s="28" t="s">
        <v>93</v>
      </c>
      <c r="G115" s="28" t="n">
        <v>45</v>
      </c>
      <c r="H115" s="28" t="s">
        <v>94</v>
      </c>
      <c r="I115" s="28" t="str">
        <f aca="false">TEXT(C115,"yyyy-mm")</f>
        <v>2026-03</v>
      </c>
      <c r="J115" s="28" t="n">
        <f aca="false">WEEKNUM(C115,21)</f>
        <v>12</v>
      </c>
    </row>
    <row r="116" customFormat="false" ht="15" hidden="false" customHeight="false" outlineLevel="0" collapsed="false">
      <c r="A116" s="28" t="n">
        <v>115</v>
      </c>
      <c r="B116" s="28" t="s">
        <v>326</v>
      </c>
      <c r="C116" s="29" t="n">
        <v>46101</v>
      </c>
      <c r="D116" s="28" t="s">
        <v>104</v>
      </c>
      <c r="E116" s="28" t="s">
        <v>327</v>
      </c>
      <c r="F116" s="28" t="s">
        <v>93</v>
      </c>
      <c r="G116" s="28" t="n">
        <v>50</v>
      </c>
      <c r="H116" s="28" t="s">
        <v>94</v>
      </c>
      <c r="I116" s="28" t="str">
        <f aca="false">TEXT(C116,"yyyy-mm")</f>
        <v>2026-03</v>
      </c>
      <c r="J116" s="28" t="n">
        <f aca="false">WEEKNUM(C116,21)</f>
        <v>12</v>
      </c>
    </row>
    <row r="117" customFormat="false" ht="15" hidden="false" customHeight="false" outlineLevel="0" collapsed="false">
      <c r="A117" s="28" t="n">
        <v>116</v>
      </c>
      <c r="B117" s="28" t="s">
        <v>328</v>
      </c>
      <c r="C117" s="29" t="n">
        <v>46104</v>
      </c>
      <c r="D117" s="28" t="s">
        <v>91</v>
      </c>
      <c r="E117" s="28" t="s">
        <v>329</v>
      </c>
      <c r="F117" s="28" t="s">
        <v>93</v>
      </c>
      <c r="G117" s="28" t="n">
        <v>20</v>
      </c>
      <c r="H117" s="28" t="s">
        <v>94</v>
      </c>
      <c r="I117" s="28" t="str">
        <f aca="false">TEXT(C117,"yyyy-mm")</f>
        <v>2026-03</v>
      </c>
      <c r="J117" s="28" t="n">
        <f aca="false">WEEKNUM(C117,21)</f>
        <v>13</v>
      </c>
    </row>
    <row r="118" customFormat="false" ht="15" hidden="false" customHeight="false" outlineLevel="0" collapsed="false">
      <c r="A118" s="28" t="n">
        <v>117</v>
      </c>
      <c r="B118" s="28" t="s">
        <v>330</v>
      </c>
      <c r="C118" s="29" t="n">
        <v>46104</v>
      </c>
      <c r="D118" s="28" t="s">
        <v>91</v>
      </c>
      <c r="E118" s="28" t="s">
        <v>331</v>
      </c>
      <c r="F118" s="28" t="s">
        <v>93</v>
      </c>
      <c r="G118" s="28" t="n">
        <v>25</v>
      </c>
      <c r="H118" s="28" t="s">
        <v>94</v>
      </c>
      <c r="I118" s="28" t="str">
        <f aca="false">TEXT(C118,"yyyy-mm")</f>
        <v>2026-03</v>
      </c>
      <c r="J118" s="28" t="n">
        <f aca="false">WEEKNUM(C118,21)</f>
        <v>13</v>
      </c>
    </row>
    <row r="119" customFormat="false" ht="15" hidden="false" customHeight="false" outlineLevel="0" collapsed="false">
      <c r="A119" s="28" t="n">
        <v>118</v>
      </c>
      <c r="B119" s="28" t="s">
        <v>332</v>
      </c>
      <c r="C119" s="29" t="n">
        <v>46105</v>
      </c>
      <c r="D119" s="28" t="s">
        <v>96</v>
      </c>
      <c r="E119" s="28" t="s">
        <v>333</v>
      </c>
      <c r="F119" s="28" t="s">
        <v>93</v>
      </c>
      <c r="G119" s="28" t="n">
        <v>45</v>
      </c>
      <c r="H119" s="28" t="s">
        <v>94</v>
      </c>
      <c r="I119" s="28" t="str">
        <f aca="false">TEXT(C119,"yyyy-mm")</f>
        <v>2026-03</v>
      </c>
      <c r="J119" s="28" t="n">
        <f aca="false">WEEKNUM(C119,21)</f>
        <v>13</v>
      </c>
    </row>
    <row r="120" customFormat="false" ht="15" hidden="false" customHeight="false" outlineLevel="0" collapsed="false">
      <c r="A120" s="28" t="n">
        <v>119</v>
      </c>
      <c r="B120" s="28" t="s">
        <v>334</v>
      </c>
      <c r="C120" s="29" t="n">
        <v>46105</v>
      </c>
      <c r="D120" s="28" t="s">
        <v>129</v>
      </c>
      <c r="E120" s="28" t="s">
        <v>335</v>
      </c>
      <c r="F120" s="28" t="s">
        <v>93</v>
      </c>
      <c r="G120" s="28" t="n">
        <v>25</v>
      </c>
      <c r="H120" s="28" t="s">
        <v>94</v>
      </c>
      <c r="I120" s="28" t="str">
        <f aca="false">TEXT(C120,"yyyy-mm")</f>
        <v>2026-03</v>
      </c>
      <c r="J120" s="28" t="n">
        <f aca="false">WEEKNUM(C120,21)</f>
        <v>13</v>
      </c>
    </row>
    <row r="121" customFormat="false" ht="15" hidden="false" customHeight="false" outlineLevel="0" collapsed="false">
      <c r="A121" s="28" t="n">
        <v>120</v>
      </c>
      <c r="B121" s="28" t="s">
        <v>336</v>
      </c>
      <c r="C121" s="29" t="n">
        <v>46106</v>
      </c>
      <c r="D121" s="28" t="s">
        <v>91</v>
      </c>
      <c r="E121" s="28" t="s">
        <v>337</v>
      </c>
      <c r="F121" s="28" t="s">
        <v>93</v>
      </c>
      <c r="G121" s="28" t="n">
        <v>20</v>
      </c>
      <c r="H121" s="28" t="s">
        <v>94</v>
      </c>
      <c r="I121" s="28" t="str">
        <f aca="false">TEXT(C121,"yyyy-mm")</f>
        <v>2026-03</v>
      </c>
      <c r="J121" s="28" t="n">
        <f aca="false">WEEKNUM(C121,21)</f>
        <v>13</v>
      </c>
    </row>
    <row r="122" customFormat="false" ht="15" hidden="false" customHeight="false" outlineLevel="0" collapsed="false">
      <c r="A122" s="28" t="n">
        <v>121</v>
      </c>
      <c r="B122" s="28" t="s">
        <v>338</v>
      </c>
      <c r="C122" s="29" t="n">
        <v>46106</v>
      </c>
      <c r="D122" s="28" t="s">
        <v>99</v>
      </c>
      <c r="E122" s="28" t="s">
        <v>339</v>
      </c>
      <c r="F122" s="28" t="s">
        <v>93</v>
      </c>
      <c r="G122" s="28" t="n">
        <v>10</v>
      </c>
      <c r="H122" s="28" t="s">
        <v>94</v>
      </c>
      <c r="I122" s="28" t="str">
        <f aca="false">TEXT(C122,"yyyy-mm")</f>
        <v>2026-03</v>
      </c>
      <c r="J122" s="28" t="n">
        <f aca="false">WEEKNUM(C122,21)</f>
        <v>13</v>
      </c>
    </row>
    <row r="123" customFormat="false" ht="15" hidden="false" customHeight="false" outlineLevel="0" collapsed="false">
      <c r="A123" s="28" t="n">
        <v>122</v>
      </c>
      <c r="B123" s="28" t="s">
        <v>340</v>
      </c>
      <c r="C123" s="29" t="n">
        <v>46107</v>
      </c>
      <c r="D123" s="28" t="s">
        <v>96</v>
      </c>
      <c r="E123" s="28" t="s">
        <v>341</v>
      </c>
      <c r="F123" s="28" t="s">
        <v>93</v>
      </c>
      <c r="G123" s="28" t="n">
        <v>35</v>
      </c>
      <c r="H123" s="28" t="s">
        <v>94</v>
      </c>
      <c r="I123" s="28" t="str">
        <f aca="false">TEXT(C123,"yyyy-mm")</f>
        <v>2026-03</v>
      </c>
      <c r="J123" s="28" t="n">
        <f aca="false">WEEKNUM(C123,21)</f>
        <v>13</v>
      </c>
    </row>
    <row r="124" customFormat="false" ht="15" hidden="false" customHeight="false" outlineLevel="0" collapsed="false">
      <c r="A124" s="28" t="n">
        <v>123</v>
      </c>
      <c r="B124" s="28" t="s">
        <v>342</v>
      </c>
      <c r="C124" s="29" t="n">
        <v>46107</v>
      </c>
      <c r="D124" s="28" t="s">
        <v>91</v>
      </c>
      <c r="E124" s="28" t="s">
        <v>343</v>
      </c>
      <c r="F124" s="28" t="s">
        <v>93</v>
      </c>
      <c r="G124" s="28" t="n">
        <v>15</v>
      </c>
      <c r="H124" s="28" t="s">
        <v>94</v>
      </c>
      <c r="I124" s="28" t="str">
        <f aca="false">TEXT(C124,"yyyy-mm")</f>
        <v>2026-03</v>
      </c>
      <c r="J124" s="28" t="n">
        <f aca="false">WEEKNUM(C124,21)</f>
        <v>13</v>
      </c>
    </row>
    <row r="125" customFormat="false" ht="15" hidden="false" customHeight="false" outlineLevel="0" collapsed="false">
      <c r="A125" s="28" t="n">
        <v>124</v>
      </c>
      <c r="B125" s="28" t="s">
        <v>344</v>
      </c>
      <c r="C125" s="29" t="n">
        <v>46108</v>
      </c>
      <c r="D125" s="28" t="s">
        <v>104</v>
      </c>
      <c r="E125" s="28" t="s">
        <v>345</v>
      </c>
      <c r="F125" s="28" t="s">
        <v>93</v>
      </c>
      <c r="G125" s="28" t="n">
        <v>40</v>
      </c>
      <c r="H125" s="28" t="s">
        <v>94</v>
      </c>
      <c r="I125" s="28" t="str">
        <f aca="false">TEXT(C125,"yyyy-mm")</f>
        <v>2026-03</v>
      </c>
      <c r="J125" s="28" t="n">
        <f aca="false">WEEKNUM(C125,21)</f>
        <v>13</v>
      </c>
    </row>
    <row r="126" customFormat="false" ht="15" hidden="false" customHeight="false" outlineLevel="0" collapsed="false">
      <c r="A126" s="28" t="n">
        <v>125</v>
      </c>
      <c r="B126" s="28" t="s">
        <v>346</v>
      </c>
      <c r="C126" s="29" t="n">
        <v>46108</v>
      </c>
      <c r="D126" s="28" t="s">
        <v>91</v>
      </c>
      <c r="E126" s="28" t="s">
        <v>347</v>
      </c>
      <c r="F126" s="28" t="s">
        <v>93</v>
      </c>
      <c r="G126" s="28" t="n">
        <v>20</v>
      </c>
      <c r="H126" s="28" t="s">
        <v>94</v>
      </c>
      <c r="I126" s="28" t="str">
        <f aca="false">TEXT(C126,"yyyy-mm")</f>
        <v>2026-03</v>
      </c>
      <c r="J126" s="28" t="n">
        <f aca="false">WEEKNUM(C126,21)</f>
        <v>13</v>
      </c>
    </row>
    <row r="127" customFormat="false" ht="15" hidden="false" customHeight="false" outlineLevel="0" collapsed="false">
      <c r="A127" s="28" t="n">
        <v>126</v>
      </c>
      <c r="B127" s="28" t="s">
        <v>348</v>
      </c>
      <c r="C127" s="29" t="n">
        <v>46111</v>
      </c>
      <c r="D127" s="28" t="s">
        <v>96</v>
      </c>
      <c r="E127" s="28" t="s">
        <v>349</v>
      </c>
      <c r="F127" s="28" t="s">
        <v>93</v>
      </c>
      <c r="G127" s="28" t="n">
        <v>30</v>
      </c>
      <c r="H127" s="28" t="s">
        <v>94</v>
      </c>
      <c r="I127" s="28" t="str">
        <f aca="false">TEXT(C127,"yyyy-mm")</f>
        <v>2026-03</v>
      </c>
      <c r="J127" s="28" t="n">
        <f aca="false">WEEKNUM(C127,21)</f>
        <v>14</v>
      </c>
    </row>
    <row r="128" customFormat="false" ht="15" hidden="false" customHeight="false" outlineLevel="0" collapsed="false">
      <c r="A128" s="28" t="n">
        <v>127</v>
      </c>
      <c r="B128" s="28" t="s">
        <v>350</v>
      </c>
      <c r="C128" s="29" t="n">
        <v>46111</v>
      </c>
      <c r="D128" s="28" t="s">
        <v>91</v>
      </c>
      <c r="E128" s="28" t="s">
        <v>351</v>
      </c>
      <c r="F128" s="28" t="s">
        <v>93</v>
      </c>
      <c r="G128" s="28" t="n">
        <v>15</v>
      </c>
      <c r="H128" s="28" t="s">
        <v>94</v>
      </c>
      <c r="I128" s="28" t="str">
        <f aca="false">TEXT(C128,"yyyy-mm")</f>
        <v>2026-03</v>
      </c>
      <c r="J128" s="28" t="n">
        <f aca="false">WEEKNUM(C128,21)</f>
        <v>14</v>
      </c>
    </row>
    <row r="129" customFormat="false" ht="15" hidden="false" customHeight="false" outlineLevel="0" collapsed="false">
      <c r="A129" s="28" t="n">
        <v>128</v>
      </c>
      <c r="B129" s="30" t="s">
        <v>352</v>
      </c>
      <c r="C129" s="29" t="n">
        <v>46111</v>
      </c>
      <c r="D129" s="28" t="s">
        <v>91</v>
      </c>
      <c r="E129" s="28" t="s">
        <v>353</v>
      </c>
      <c r="F129" s="28" t="s">
        <v>93</v>
      </c>
      <c r="G129" s="28" t="n">
        <v>20</v>
      </c>
      <c r="H129" s="28" t="s">
        <v>354</v>
      </c>
      <c r="I129" s="28" t="str">
        <f aca="false">TEXT(C129,"yyyy-mm")</f>
        <v>2026-03</v>
      </c>
      <c r="J129" s="28" t="n">
        <f aca="false">WEEKNUM(C129,21)</f>
        <v>14</v>
      </c>
      <c r="K129" s="31" t="s">
        <v>355</v>
      </c>
      <c r="L129" s="5" t="s">
        <v>356</v>
      </c>
    </row>
    <row r="130" customFormat="false" ht="15" hidden="false" customHeight="false" outlineLevel="0" collapsed="false">
      <c r="A130" s="28" t="n">
        <v>129</v>
      </c>
      <c r="B130" s="30" t="s">
        <v>357</v>
      </c>
      <c r="C130" s="29" t="n">
        <v>46112</v>
      </c>
      <c r="D130" s="28" t="s">
        <v>96</v>
      </c>
      <c r="E130" s="28" t="s">
        <v>358</v>
      </c>
      <c r="F130" s="28" t="s">
        <v>93</v>
      </c>
      <c r="G130" s="28" t="n">
        <v>30</v>
      </c>
      <c r="H130" s="28" t="s">
        <v>354</v>
      </c>
      <c r="I130" s="28" t="str">
        <f aca="false">TEXT(C130,"yyyy-mm")</f>
        <v>2026-03</v>
      </c>
      <c r="J130" s="28" t="n">
        <f aca="false">WEEKNUM(C130,21)</f>
        <v>14</v>
      </c>
      <c r="K130" s="31" t="s">
        <v>355</v>
      </c>
      <c r="L130" s="5" t="s">
        <v>356</v>
      </c>
    </row>
    <row r="131" customFormat="false" ht="15" hidden="false" customHeight="false" outlineLevel="0" collapsed="false">
      <c r="A131" s="28" t="n">
        <v>130</v>
      </c>
      <c r="B131" s="28" t="s">
        <v>359</v>
      </c>
      <c r="C131" s="29" t="n">
        <v>46112</v>
      </c>
      <c r="D131" s="28" t="s">
        <v>104</v>
      </c>
      <c r="E131" s="28" t="s">
        <v>360</v>
      </c>
      <c r="F131" s="28" t="s">
        <v>93</v>
      </c>
      <c r="G131" s="28" t="n">
        <v>35</v>
      </c>
      <c r="H131" s="28" t="s">
        <v>94</v>
      </c>
      <c r="I131" s="28" t="str">
        <f aca="false">TEXT(C131,"yyyy-mm")</f>
        <v>2026-03</v>
      </c>
      <c r="J131" s="28" t="n">
        <f aca="false">WEEKNUM(C131,21)</f>
        <v>14</v>
      </c>
    </row>
    <row r="132" customFormat="false" ht="15" hidden="false" customHeight="false" outlineLevel="0" collapsed="false">
      <c r="A132" s="28" t="n">
        <v>131</v>
      </c>
      <c r="B132" s="28" t="s">
        <v>361</v>
      </c>
      <c r="C132" s="29" t="n">
        <v>46112</v>
      </c>
      <c r="D132" s="28" t="s">
        <v>91</v>
      </c>
      <c r="E132" s="28" t="s">
        <v>362</v>
      </c>
      <c r="F132" s="28" t="s">
        <v>93</v>
      </c>
      <c r="G132" s="28" t="n">
        <v>15</v>
      </c>
      <c r="H132" s="28" t="s">
        <v>94</v>
      </c>
      <c r="I132" s="28" t="str">
        <f aca="false">TEXT(C132,"yyyy-mm")</f>
        <v>2026-03</v>
      </c>
      <c r="J132" s="28" t="n">
        <f aca="false">WEEKNUM(C132,21)</f>
        <v>14</v>
      </c>
    </row>
    <row r="133" customFormat="false" ht="15" hidden="false" customHeight="false" outlineLevel="0" collapsed="false">
      <c r="A133" s="28" t="n">
        <v>132</v>
      </c>
      <c r="B133" s="30" t="s">
        <v>363</v>
      </c>
      <c r="C133" s="29" t="n">
        <v>46032</v>
      </c>
      <c r="D133" s="28" t="s">
        <v>91</v>
      </c>
      <c r="E133" s="28" t="s">
        <v>364</v>
      </c>
      <c r="F133" s="28" t="s">
        <v>93</v>
      </c>
      <c r="G133" s="28" t="n">
        <v>20</v>
      </c>
      <c r="H133" s="28" t="s">
        <v>94</v>
      </c>
      <c r="I133" s="28" t="str">
        <f aca="false">TEXT(C133,"yyyy-mm")</f>
        <v>2026-01</v>
      </c>
      <c r="J133" s="28" t="n">
        <f aca="false">WEEKNUM(C133,21)</f>
        <v>2</v>
      </c>
      <c r="K133" s="31" t="s">
        <v>365</v>
      </c>
      <c r="L133" s="5" t="s">
        <v>366</v>
      </c>
    </row>
    <row r="134" customFormat="false" ht="15" hidden="false" customHeight="false" outlineLevel="0" collapsed="false">
      <c r="A134" s="28" t="n">
        <v>133</v>
      </c>
      <c r="B134" s="30" t="s">
        <v>367</v>
      </c>
      <c r="C134" s="29" t="n">
        <v>46045</v>
      </c>
      <c r="D134" s="28" t="s">
        <v>96</v>
      </c>
      <c r="E134" s="28" t="s">
        <v>368</v>
      </c>
      <c r="F134" s="28" t="s">
        <v>93</v>
      </c>
      <c r="G134" s="28" t="n">
        <v>30</v>
      </c>
      <c r="H134" s="28" t="s">
        <v>94</v>
      </c>
      <c r="I134" s="28" t="str">
        <f aca="false">TEXT(C134,"yyyy-mm")</f>
        <v>2026-01</v>
      </c>
      <c r="J134" s="28" t="n">
        <f aca="false">WEEKNUM(C134,21)</f>
        <v>4</v>
      </c>
      <c r="K134" s="31" t="s">
        <v>365</v>
      </c>
      <c r="L134" s="5" t="s">
        <v>369</v>
      </c>
    </row>
    <row r="135" customFormat="false" ht="15" hidden="false" customHeight="false" outlineLevel="0" collapsed="false">
      <c r="A135" s="28" t="n">
        <v>134</v>
      </c>
      <c r="B135" s="30" t="s">
        <v>370</v>
      </c>
      <c r="C135" s="29" t="n">
        <v>46060</v>
      </c>
      <c r="D135" s="28" t="s">
        <v>99</v>
      </c>
      <c r="E135" s="28" t="s">
        <v>371</v>
      </c>
      <c r="F135" s="28" t="s">
        <v>93</v>
      </c>
      <c r="G135" s="28" t="n">
        <v>10</v>
      </c>
      <c r="H135" s="28" t="s">
        <v>94</v>
      </c>
      <c r="I135" s="28" t="str">
        <f aca="false">TEXT(C135,"yyyy-mm")</f>
        <v>2026-02</v>
      </c>
      <c r="J135" s="28" t="n">
        <f aca="false">WEEKNUM(C135,21)</f>
        <v>6</v>
      </c>
      <c r="K135" s="31" t="s">
        <v>365</v>
      </c>
      <c r="L135" s="5" t="s">
        <v>372</v>
      </c>
    </row>
    <row r="136" customFormat="false" ht="15" hidden="false" customHeight="false" outlineLevel="0" collapsed="false">
      <c r="A136" s="28" t="n">
        <v>135</v>
      </c>
      <c r="B136" s="30" t="s">
        <v>373</v>
      </c>
      <c r="C136" s="29" t="n">
        <v>46073</v>
      </c>
      <c r="D136" s="28" t="s">
        <v>91</v>
      </c>
      <c r="E136" s="28" t="s">
        <v>374</v>
      </c>
      <c r="F136" s="28" t="s">
        <v>93</v>
      </c>
      <c r="G136" s="28" t="n">
        <v>15</v>
      </c>
      <c r="H136" s="28" t="s">
        <v>94</v>
      </c>
      <c r="I136" s="28" t="str">
        <f aca="false">TEXT(C136,"yyyy-mm")</f>
        <v>2026-02</v>
      </c>
      <c r="J136" s="28" t="n">
        <f aca="false">WEEKNUM(C136,21)</f>
        <v>8</v>
      </c>
      <c r="K136" s="31" t="s">
        <v>365</v>
      </c>
      <c r="L136" s="5" t="s">
        <v>375</v>
      </c>
    </row>
    <row r="137" customFormat="false" ht="15" hidden="false" customHeight="false" outlineLevel="0" collapsed="false">
      <c r="A137" s="28" t="n">
        <v>136</v>
      </c>
      <c r="B137" s="30" t="s">
        <v>376</v>
      </c>
      <c r="C137" s="29" t="n">
        <v>46087</v>
      </c>
      <c r="D137" s="28" t="s">
        <v>104</v>
      </c>
      <c r="E137" s="28" t="s">
        <v>377</v>
      </c>
      <c r="F137" s="28" t="s">
        <v>93</v>
      </c>
      <c r="G137" s="28" t="n">
        <v>40</v>
      </c>
      <c r="H137" s="28" t="s">
        <v>94</v>
      </c>
      <c r="I137" s="28" t="str">
        <f aca="false">TEXT(C137,"yyyy-mm")</f>
        <v>2026-03</v>
      </c>
      <c r="J137" s="28" t="n">
        <f aca="false">WEEKNUM(C137,21)</f>
        <v>10</v>
      </c>
      <c r="K137" s="31" t="s">
        <v>365</v>
      </c>
      <c r="L137" s="5" t="s">
        <v>378</v>
      </c>
    </row>
    <row r="138" customFormat="false" ht="15" hidden="false" customHeight="false" outlineLevel="0" collapsed="false">
      <c r="A138" s="28" t="n">
        <v>137</v>
      </c>
      <c r="B138" s="30" t="s">
        <v>379</v>
      </c>
      <c r="C138" s="29" t="n">
        <v>46094</v>
      </c>
      <c r="D138" s="28" t="s">
        <v>96</v>
      </c>
      <c r="E138" s="28" t="s">
        <v>380</v>
      </c>
      <c r="F138" s="28" t="s">
        <v>93</v>
      </c>
      <c r="G138" s="28" t="n">
        <v>30</v>
      </c>
      <c r="H138" s="28" t="s">
        <v>94</v>
      </c>
      <c r="I138" s="28" t="str">
        <f aca="false">TEXT(C138,"yyyy-mm")</f>
        <v>2026-03</v>
      </c>
      <c r="J138" s="28" t="n">
        <f aca="false">WEEKNUM(C138,21)</f>
        <v>11</v>
      </c>
      <c r="K138" s="31" t="s">
        <v>365</v>
      </c>
      <c r="L138" s="5" t="s">
        <v>381</v>
      </c>
    </row>
    <row r="139" customFormat="false" ht="15" hidden="false" customHeight="false" outlineLevel="0" collapsed="false">
      <c r="A139" s="28" t="n">
        <v>138</v>
      </c>
      <c r="B139" s="30" t="s">
        <v>382</v>
      </c>
      <c r="C139" s="29" t="n">
        <v>46039</v>
      </c>
      <c r="D139" s="28" t="s">
        <v>91</v>
      </c>
      <c r="E139" s="28" t="s">
        <v>383</v>
      </c>
      <c r="F139" s="28" t="s">
        <v>93</v>
      </c>
      <c r="G139" s="28" t="n">
        <v>20</v>
      </c>
      <c r="H139" s="28" t="s">
        <v>94</v>
      </c>
      <c r="I139" s="28" t="str">
        <f aca="false">TEXT(C139,"yyyy-mm")</f>
        <v>2026-01</v>
      </c>
      <c r="J139" s="28" t="n">
        <f aca="false">WEEKNUM(C139,21)</f>
        <v>3</v>
      </c>
      <c r="K139" s="31" t="s">
        <v>365</v>
      </c>
      <c r="L139" s="5" t="s">
        <v>384</v>
      </c>
    </row>
    <row r="140" customFormat="false" ht="15" hidden="false" customHeight="false" outlineLevel="0" collapsed="false">
      <c r="A140" s="28" t="n">
        <v>139</v>
      </c>
      <c r="B140" s="30" t="s">
        <v>385</v>
      </c>
      <c r="C140" s="29" t="n">
        <v>46067</v>
      </c>
      <c r="D140" s="28" t="s">
        <v>91</v>
      </c>
      <c r="E140" s="28" t="s">
        <v>386</v>
      </c>
      <c r="F140" s="28" t="s">
        <v>93</v>
      </c>
      <c r="G140" s="28" t="n">
        <v>15</v>
      </c>
      <c r="H140" s="28" t="s">
        <v>94</v>
      </c>
      <c r="I140" s="28" t="str">
        <f aca="false">TEXT(C140,"yyyy-mm")</f>
        <v>2026-02</v>
      </c>
      <c r="J140" s="28" t="n">
        <f aca="false">WEEKNUM(C140,21)</f>
        <v>7</v>
      </c>
      <c r="K140" s="31" t="s">
        <v>365</v>
      </c>
      <c r="L140" s="5" t="s">
        <v>387</v>
      </c>
    </row>
    <row r="141" customFormat="false" ht="15" hidden="false" customHeight="false" outlineLevel="0" collapsed="false">
      <c r="A141" s="28" t="n">
        <v>140</v>
      </c>
      <c r="B141" s="30" t="s">
        <v>388</v>
      </c>
      <c r="C141" s="29" t="n">
        <v>46085</v>
      </c>
      <c r="D141" s="28" t="s">
        <v>129</v>
      </c>
      <c r="E141" s="28" t="s">
        <v>389</v>
      </c>
      <c r="F141" s="28" t="s">
        <v>93</v>
      </c>
      <c r="G141" s="28" t="n">
        <v>25</v>
      </c>
      <c r="H141" s="28" t="s">
        <v>94</v>
      </c>
      <c r="I141" s="28" t="str">
        <f aca="false">TEXT(C141,"yyyy-mm")</f>
        <v>2026-03</v>
      </c>
      <c r="J141" s="28" t="n">
        <f aca="false">WEEKNUM(C141,21)</f>
        <v>10</v>
      </c>
      <c r="K141" s="31" t="s">
        <v>365</v>
      </c>
      <c r="L141" s="5" t="s">
        <v>390</v>
      </c>
    </row>
    <row r="142" customFormat="false" ht="15" hidden="false" customHeight="false" outlineLevel="0" collapsed="false">
      <c r="A142" s="28" t="n">
        <v>141</v>
      </c>
      <c r="B142" s="30" t="s">
        <v>391</v>
      </c>
      <c r="C142" s="29" t="n">
        <v>46102</v>
      </c>
      <c r="D142" s="28" t="s">
        <v>96</v>
      </c>
      <c r="E142" s="28" t="s">
        <v>392</v>
      </c>
      <c r="F142" s="28" t="s">
        <v>93</v>
      </c>
      <c r="G142" s="28" t="n">
        <v>30</v>
      </c>
      <c r="H142" s="28" t="s">
        <v>94</v>
      </c>
      <c r="I142" s="28" t="str">
        <f aca="false">TEXT(C142,"yyyy-mm")</f>
        <v>2026-03</v>
      </c>
      <c r="J142" s="28" t="n">
        <f aca="false">WEEKNUM(C142,21)</f>
        <v>12</v>
      </c>
      <c r="K142" s="31" t="s">
        <v>365</v>
      </c>
      <c r="L142" s="5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7" t="s">
        <v>394</v>
      </c>
    </row>
    <row r="3" customFormat="false" ht="15" hidden="false" customHeight="false" outlineLevel="0" collapsed="false">
      <c r="A3" s="32" t="s">
        <v>81</v>
      </c>
      <c r="B3" s="32" t="s">
        <v>395</v>
      </c>
      <c r="C3" s="32" t="s">
        <v>396</v>
      </c>
      <c r="D3" s="32" t="s">
        <v>397</v>
      </c>
      <c r="E3" s="32" t="s">
        <v>398</v>
      </c>
      <c r="F3" s="32" t="s">
        <v>399</v>
      </c>
    </row>
    <row r="4" customFormat="false" ht="15" hidden="false" customHeight="false" outlineLevel="0" collapsed="false">
      <c r="A4" s="5" t="s">
        <v>96</v>
      </c>
      <c r="B4" s="5" t="n">
        <f aca="false">COUNTIFS('Tickets (raw)'!$D$3:$D$142,A4)</f>
        <v>36</v>
      </c>
      <c r="C4" s="5" t="n">
        <f aca="false">SUMIFS('Tickets (raw)'!$G$3:$G$142,'Tickets (raw)'!$D$3:$D$142,A4)</f>
        <v>1555</v>
      </c>
      <c r="D4" s="33" t="n">
        <f aca="false">C4/60</f>
        <v>25.9166666666667</v>
      </c>
      <c r="E4" s="34" t="n">
        <f aca="false">C4/$C$10</f>
        <v>0.367612293144208</v>
      </c>
      <c r="F4" s="33" t="n">
        <f aca="false">C4/B4</f>
        <v>43.1944444444444</v>
      </c>
    </row>
    <row r="5" customFormat="false" ht="15" hidden="false" customHeight="false" outlineLevel="0" collapsed="false">
      <c r="A5" s="5" t="s">
        <v>91</v>
      </c>
      <c r="B5" s="5" t="n">
        <f aca="false">COUNTIFS('Tickets (raw)'!$D$3:$D$142,A5)</f>
        <v>63</v>
      </c>
      <c r="C5" s="5" t="n">
        <f aca="false">SUMIFS('Tickets (raw)'!$G$3:$G$142,'Tickets (raw)'!$D$3:$D$142,A5)</f>
        <v>1365</v>
      </c>
      <c r="D5" s="33" t="n">
        <f aca="false">C5/60</f>
        <v>22.75</v>
      </c>
      <c r="E5" s="34" t="n">
        <f aca="false">C5/$C$10</f>
        <v>0.322695035460993</v>
      </c>
      <c r="F5" s="33" t="n">
        <f aca="false">C5/B5</f>
        <v>21.6666666666667</v>
      </c>
    </row>
    <row r="6" customFormat="false" ht="15" hidden="false" customHeight="false" outlineLevel="0" collapsed="false">
      <c r="A6" s="5" t="s">
        <v>104</v>
      </c>
      <c r="B6" s="5" t="n">
        <f aca="false">COUNTIFS('Tickets (raw)'!$D$3:$D$142,A6)</f>
        <v>18</v>
      </c>
      <c r="C6" s="5" t="n">
        <f aca="false">SUMIFS('Tickets (raw)'!$G$3:$G$142,'Tickets (raw)'!$D$3:$D$142,A6)</f>
        <v>875</v>
      </c>
      <c r="D6" s="33" t="n">
        <f aca="false">C6/60</f>
        <v>14.5833333333333</v>
      </c>
      <c r="E6" s="34" t="n">
        <f aca="false">C6/$C$10</f>
        <v>0.206855791962175</v>
      </c>
      <c r="F6" s="33" t="n">
        <f aca="false">C6/B6</f>
        <v>48.6111111111111</v>
      </c>
    </row>
    <row r="7" customFormat="false" ht="15" hidden="false" customHeight="false" outlineLevel="0" collapsed="false">
      <c r="A7" s="5" t="s">
        <v>129</v>
      </c>
      <c r="B7" s="5" t="n">
        <f aca="false">COUNTIFS('Tickets (raw)'!$D$3:$D$142,A7)</f>
        <v>7</v>
      </c>
      <c r="C7" s="5" t="n">
        <f aca="false">SUMIFS('Tickets (raw)'!$G$3:$G$142,'Tickets (raw)'!$D$3:$D$142,A7)</f>
        <v>170</v>
      </c>
      <c r="D7" s="33" t="n">
        <f aca="false">C7/60</f>
        <v>2.83333333333333</v>
      </c>
      <c r="E7" s="34" t="n">
        <f aca="false">C7/$C$10</f>
        <v>0.0401891252955083</v>
      </c>
      <c r="F7" s="33" t="n">
        <f aca="false">C7/B7</f>
        <v>24.2857142857143</v>
      </c>
    </row>
    <row r="8" customFormat="false" ht="15" hidden="false" customHeight="false" outlineLevel="0" collapsed="false">
      <c r="A8" s="5" t="s">
        <v>99</v>
      </c>
      <c r="B8" s="5" t="n">
        <f aca="false">COUNTIFS('Tickets (raw)'!$D$3:$D$142,A8)</f>
        <v>13</v>
      </c>
      <c r="C8" s="5" t="n">
        <f aca="false">SUMIFS('Tickets (raw)'!$G$3:$G$142,'Tickets (raw)'!$D$3:$D$142,A8)</f>
        <v>135</v>
      </c>
      <c r="D8" s="33" t="n">
        <f aca="false">C8/60</f>
        <v>2.25</v>
      </c>
      <c r="E8" s="34" t="n">
        <f aca="false">C8/$C$10</f>
        <v>0.0319148936170213</v>
      </c>
      <c r="F8" s="33" t="n">
        <f aca="false">C8/B8</f>
        <v>10.3846153846154</v>
      </c>
    </row>
    <row r="9" customFormat="false" ht="15" hidden="false" customHeight="false" outlineLevel="0" collapsed="false">
      <c r="A9" s="5" t="s">
        <v>158</v>
      </c>
      <c r="B9" s="5" t="n">
        <f aca="false">COUNTIFS('Tickets (raw)'!$D$3:$D$142,A9)</f>
        <v>3</v>
      </c>
      <c r="C9" s="5" t="n">
        <f aca="false">SUMIFS('Tickets (raw)'!$G$3:$G$142,'Tickets (raw)'!$D$3:$D$142,A9)</f>
        <v>130</v>
      </c>
      <c r="D9" s="33" t="n">
        <f aca="false">C9/60</f>
        <v>2.16666666666667</v>
      </c>
      <c r="E9" s="34" t="n">
        <f aca="false">C9/$C$10</f>
        <v>0.0307328605200946</v>
      </c>
      <c r="F9" s="33" t="n">
        <f aca="false">C9/B9</f>
        <v>43.3333333333333</v>
      </c>
    </row>
    <row r="10" customFormat="false" ht="15" hidden="false" customHeight="false" outlineLevel="0" collapsed="false">
      <c r="A10" s="17" t="s">
        <v>400</v>
      </c>
      <c r="B10" s="17" t="n">
        <f aca="false">SUM(B4:B9)</f>
        <v>140</v>
      </c>
      <c r="C10" s="17" t="n">
        <f aca="false">SUM(C4:C9)</f>
        <v>4230</v>
      </c>
      <c r="D10" s="35" t="n">
        <f aca="false">C10/60</f>
        <v>70.5</v>
      </c>
      <c r="E10" s="34" t="n">
        <f aca="false">C10/C10</f>
        <v>1</v>
      </c>
    </row>
    <row r="13" customFormat="false" ht="15" hidden="false" customHeight="false" outlineLevel="0" collapsed="false">
      <c r="A13" s="32" t="s">
        <v>86</v>
      </c>
      <c r="B13" s="32" t="s">
        <v>395</v>
      </c>
      <c r="C13" s="32" t="s">
        <v>396</v>
      </c>
      <c r="D13" s="32" t="s">
        <v>397</v>
      </c>
    </row>
    <row r="14" customFormat="false" ht="15" hidden="false" customHeight="false" outlineLevel="0" collapsed="false">
      <c r="A14" s="5" t="s">
        <v>401</v>
      </c>
      <c r="B14" s="36" t="n">
        <f aca="false">COUNTIFS('Tickets (raw)'!$I$3:$I$142,A14)</f>
        <v>47</v>
      </c>
      <c r="C14" s="36" t="n">
        <f aca="false">SUMIFS('Tickets (raw)'!$G$3:$G$142,'Tickets (raw)'!$I$3:$I$142,A14)</f>
        <v>1445</v>
      </c>
      <c r="D14" s="33" t="n">
        <f aca="false">C14/60</f>
        <v>24.0833333333333</v>
      </c>
    </row>
    <row r="15" customFormat="false" ht="15" hidden="false" customHeight="false" outlineLevel="0" collapsed="false">
      <c r="A15" s="5" t="s">
        <v>402</v>
      </c>
      <c r="B15" s="36" t="n">
        <f aca="false">COUNTIFS('Tickets (raw)'!$I$3:$I$142,A15)</f>
        <v>43</v>
      </c>
      <c r="C15" s="36" t="n">
        <f aca="false">SUMIFS('Tickets (raw)'!$G$3:$G$142,'Tickets (raw)'!$I$3:$I$142,A15)</f>
        <v>1305</v>
      </c>
      <c r="D15" s="33" t="n">
        <f aca="false">C15/60</f>
        <v>21.75</v>
      </c>
    </row>
    <row r="16" customFormat="false" ht="15" hidden="false" customHeight="false" outlineLevel="0" collapsed="false">
      <c r="A16" s="5" t="s">
        <v>403</v>
      </c>
      <c r="B16" s="36" t="n">
        <f aca="false">COUNTIFS('Tickets (raw)'!$I$3:$I$142,A16)</f>
        <v>50</v>
      </c>
      <c r="C16" s="36" t="n">
        <f aca="false">SUMIFS('Tickets (raw)'!$G$3:$G$142,'Tickets (raw)'!$I$3:$I$142,A16)</f>
        <v>1480</v>
      </c>
      <c r="D16" s="33" t="n">
        <f aca="false">C16/60</f>
        <v>24.6666666666667</v>
      </c>
    </row>
    <row r="19" customFormat="false" ht="15" hidden="false" customHeight="false" outlineLevel="0" collapsed="false">
      <c r="A19" s="32" t="s">
        <v>87</v>
      </c>
      <c r="B19" s="32" t="s">
        <v>404</v>
      </c>
    </row>
    <row r="20" customFormat="false" ht="15" hidden="false" customHeight="false" outlineLevel="0" collapsed="false">
      <c r="A20" s="5" t="n">
        <v>1</v>
      </c>
      <c r="B20" s="36" t="n">
        <f aca="false">COUNTIFS('Tickets (raw)'!$J$3:$J$142,A20,'Tickets (raw)'!$D$3:$D$142,"Thumbnail re-upload")</f>
        <v>2</v>
      </c>
    </row>
    <row r="21" customFormat="false" ht="15" hidden="false" customHeight="false" outlineLevel="0" collapsed="false">
      <c r="A21" s="5" t="n">
        <v>2</v>
      </c>
      <c r="B21" s="36" t="n">
        <f aca="false">COUNTIFS('Tickets (raw)'!$J$3:$J$142,A21,'Tickets (raw)'!$D$3:$D$142,"Thumbnail re-upload")</f>
        <v>5</v>
      </c>
    </row>
    <row r="22" customFormat="false" ht="15" hidden="false" customHeight="false" outlineLevel="0" collapsed="false">
      <c r="A22" s="5" t="n">
        <v>3</v>
      </c>
      <c r="B22" s="36" t="n">
        <f aca="false">COUNTIFS('Tickets (raw)'!$J$3:$J$142,A22,'Tickets (raw)'!$D$3:$D$142,"Thumbnail re-upload")</f>
        <v>6</v>
      </c>
    </row>
    <row r="23" customFormat="false" ht="15" hidden="false" customHeight="false" outlineLevel="0" collapsed="false">
      <c r="A23" s="5" t="n">
        <v>4</v>
      </c>
      <c r="B23" s="36" t="n">
        <f aca="false">COUNTIFS('Tickets (raw)'!$J$3:$J$142,A23,'Tickets (raw)'!$D$3:$D$142,"Thumbnail re-upload")</f>
        <v>4</v>
      </c>
    </row>
    <row r="24" customFormat="false" ht="15" hidden="false" customHeight="false" outlineLevel="0" collapsed="false">
      <c r="A24" s="5" t="n">
        <v>5</v>
      </c>
      <c r="B24" s="36" t="n">
        <f aca="false">COUNTIFS('Tickets (raw)'!$J$3:$J$142,A24,'Tickets (raw)'!$D$3:$D$142,"Thumbnail re-upload")</f>
        <v>5</v>
      </c>
    </row>
    <row r="25" customFormat="false" ht="15" hidden="false" customHeight="false" outlineLevel="0" collapsed="false">
      <c r="A25" s="5" t="n">
        <v>6</v>
      </c>
      <c r="B25" s="36" t="n">
        <f aca="false">COUNTIFS('Tickets (raw)'!$J$3:$J$142,A25,'Tickets (raw)'!$D$3:$D$142,"Thumbnail re-upload")</f>
        <v>4</v>
      </c>
    </row>
    <row r="26" customFormat="false" ht="15" hidden="false" customHeight="false" outlineLevel="0" collapsed="false">
      <c r="A26" s="5" t="n">
        <v>7</v>
      </c>
      <c r="B26" s="36" t="n">
        <f aca="false">COUNTIFS('Tickets (raw)'!$J$3:$J$142,A26,'Tickets (raw)'!$D$3:$D$142,"Thumbnail re-upload")</f>
        <v>6</v>
      </c>
    </row>
    <row r="27" customFormat="false" ht="15" hidden="false" customHeight="false" outlineLevel="0" collapsed="false">
      <c r="A27" s="5" t="n">
        <v>8</v>
      </c>
      <c r="B27" s="36" t="n">
        <f aca="false">COUNTIFS('Tickets (raw)'!$J$3:$J$142,A27,'Tickets (raw)'!$D$3:$D$142,"Thumbnail re-upload")</f>
        <v>5</v>
      </c>
    </row>
    <row r="28" customFormat="false" ht="15" hidden="false" customHeight="false" outlineLevel="0" collapsed="false">
      <c r="A28" s="5" t="n">
        <v>9</v>
      </c>
      <c r="B28" s="36" t="n">
        <f aca="false">COUNTIFS('Tickets (raw)'!$J$3:$J$142,A28,'Tickets (raw)'!$D$3:$D$142,"Thumbnail re-upload")</f>
        <v>5</v>
      </c>
    </row>
    <row r="29" customFormat="false" ht="15" hidden="false" customHeight="false" outlineLevel="0" collapsed="false">
      <c r="A29" s="5" t="n">
        <v>10</v>
      </c>
      <c r="B29" s="36" t="n">
        <f aca="false">COUNTIFS('Tickets (raw)'!$J$3:$J$142,A29,'Tickets (raw)'!$D$3:$D$142,"Thumbnail re-upload")</f>
        <v>4</v>
      </c>
    </row>
    <row r="30" customFormat="false" ht="15" hidden="false" customHeight="false" outlineLevel="0" collapsed="false">
      <c r="A30" s="5" t="n">
        <v>11</v>
      </c>
      <c r="B30" s="36" t="n">
        <f aca="false">COUNTIFS('Tickets (raw)'!$J$3:$J$142,A30,'Tickets (raw)'!$D$3:$D$142,"Thumbnail re-upload")</f>
        <v>5</v>
      </c>
    </row>
    <row r="31" customFormat="false" ht="15" hidden="false" customHeight="false" outlineLevel="0" collapsed="false">
      <c r="A31" s="5" t="n">
        <v>12</v>
      </c>
      <c r="B31" s="36" t="n">
        <f aca="false">COUNTIFS('Tickets (raw)'!$J$3:$J$142,A31,'Tickets (raw)'!$D$3:$D$142,"Thumbnail re-upload")</f>
        <v>4</v>
      </c>
    </row>
    <row r="32" customFormat="false" ht="15" hidden="false" customHeight="false" outlineLevel="0" collapsed="false">
      <c r="A32" s="5" t="n">
        <v>13</v>
      </c>
      <c r="B32" s="36" t="n">
        <f aca="false">COUNTIFS('Tickets (raw)'!$J$3:$J$142,A32,'Tickets (raw)'!$D$3:$D$142,"Thumbnail re-upload")</f>
        <v>5</v>
      </c>
    </row>
    <row r="33" customFormat="false" ht="15" hidden="false" customHeight="false" outlineLevel="0" collapsed="false">
      <c r="A33" s="5" t="n">
        <v>14</v>
      </c>
      <c r="B33" s="36" t="n">
        <f aca="false">COUNTIFS('Tickets (raw)'!$J$3:$J$142,A33,'Tickets (raw)'!$D$3:$D$142,"Thumbnail re-upload")</f>
        <v>3</v>
      </c>
    </row>
    <row r="34" customFormat="false" ht="15" hidden="false" customHeight="false" outlineLevel="0" collapsed="false">
      <c r="A34" s="17" t="s">
        <v>405</v>
      </c>
      <c r="B34" s="17" t="n">
        <f aca="false">MAX(B20:B33)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7" t="s">
        <v>406</v>
      </c>
    </row>
    <row r="2" customFormat="false" ht="15" hidden="false" customHeight="false" outlineLevel="0" collapsed="false">
      <c r="A2" s="27" t="s">
        <v>407</v>
      </c>
      <c r="B2" s="27" t="s">
        <v>408</v>
      </c>
      <c r="C2" s="27" t="s">
        <v>409</v>
      </c>
      <c r="D2" s="27" t="s">
        <v>410</v>
      </c>
      <c r="E2" s="27" t="s">
        <v>411</v>
      </c>
    </row>
    <row r="3" customFormat="false" ht="15" hidden="false" customHeight="false" outlineLevel="0" collapsed="false">
      <c r="A3" s="37" t="s">
        <v>412</v>
      </c>
      <c r="B3" s="37" t="n">
        <v>7</v>
      </c>
      <c r="C3" s="37" t="s">
        <v>413</v>
      </c>
      <c r="D3" s="38" t="n">
        <v>3120000</v>
      </c>
      <c r="E3" s="37" t="s">
        <v>11</v>
      </c>
    </row>
    <row r="4" customFormat="false" ht="15" hidden="false" customHeight="false" outlineLevel="0" collapsed="false">
      <c r="A4" s="37" t="s">
        <v>414</v>
      </c>
      <c r="B4" s="37" t="n">
        <v>18</v>
      </c>
      <c r="C4" s="37" t="s">
        <v>415</v>
      </c>
      <c r="D4" s="38" t="n">
        <v>300</v>
      </c>
      <c r="E4" s="37" t="s">
        <v>13</v>
      </c>
    </row>
    <row r="5" customFormat="false" ht="23.85" hidden="false" customHeight="false" outlineLevel="0" collapsed="false">
      <c r="A5" s="37" t="s">
        <v>416</v>
      </c>
      <c r="B5" s="37" t="n">
        <v>176</v>
      </c>
      <c r="C5" s="37" t="s">
        <v>417</v>
      </c>
      <c r="D5" s="38" t="n">
        <v>40</v>
      </c>
      <c r="E5" s="37" t="s">
        <v>418</v>
      </c>
    </row>
    <row r="6" customFormat="false" ht="15" hidden="false" customHeight="false" outlineLevel="0" collapsed="false">
      <c r="A6" s="37" t="s">
        <v>416</v>
      </c>
      <c r="B6" s="37" t="n">
        <v>188</v>
      </c>
      <c r="C6" s="37" t="s">
        <v>419</v>
      </c>
      <c r="D6" s="38" t="n">
        <v>1</v>
      </c>
      <c r="E6" s="37" t="s">
        <v>420</v>
      </c>
    </row>
    <row r="7" customFormat="false" ht="15" hidden="false" customHeight="false" outlineLevel="0" collapsed="false">
      <c r="A7" s="37" t="s">
        <v>416</v>
      </c>
      <c r="B7" s="37" t="n">
        <v>179</v>
      </c>
      <c r="C7" s="37" t="s">
        <v>421</v>
      </c>
      <c r="D7" s="37"/>
      <c r="E7" s="37" t="s">
        <v>422</v>
      </c>
    </row>
    <row r="8" customFormat="false" ht="23.85" hidden="false" customHeight="false" outlineLevel="0" collapsed="false">
      <c r="A8" s="37" t="s">
        <v>416</v>
      </c>
      <c r="B8" s="37" t="n">
        <v>185</v>
      </c>
      <c r="C8" s="37" t="s">
        <v>423</v>
      </c>
      <c r="D8" s="37"/>
      <c r="E8" s="37" t="s">
        <v>424</v>
      </c>
    </row>
    <row r="9" customFormat="false" ht="23.85" hidden="false" customHeight="false" outlineLevel="0" collapsed="false">
      <c r="A9" s="37" t="s">
        <v>416</v>
      </c>
      <c r="B9" s="37" t="n">
        <v>193</v>
      </c>
      <c r="C9" s="37" t="s">
        <v>425</v>
      </c>
      <c r="D9" s="38" t="n">
        <v>47</v>
      </c>
      <c r="E9" s="37" t="s">
        <v>426</v>
      </c>
    </row>
    <row r="10" customFormat="false" ht="23.85" hidden="false" customHeight="false" outlineLevel="0" collapsed="false">
      <c r="A10" s="37" t="s">
        <v>416</v>
      </c>
      <c r="B10" s="37" t="n">
        <v>244</v>
      </c>
      <c r="C10" s="37" t="s">
        <v>427</v>
      </c>
      <c r="D10" s="37"/>
      <c r="E10" s="37" t="s">
        <v>428</v>
      </c>
    </row>
    <row r="11" customFormat="false" ht="23.85" hidden="false" customHeight="false" outlineLevel="0" collapsed="false">
      <c r="A11" s="37" t="s">
        <v>429</v>
      </c>
      <c r="B11" s="37"/>
      <c r="C11" s="37" t="s">
        <v>430</v>
      </c>
      <c r="D11" s="37"/>
      <c r="E11" s="37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7" t="s">
        <v>432</v>
      </c>
    </row>
    <row r="2" customFormat="false" ht="15" hidden="false" customHeight="false" outlineLevel="0" collapsed="false">
      <c r="A2" s="27" t="s">
        <v>433</v>
      </c>
      <c r="B2" s="27" t="s">
        <v>434</v>
      </c>
      <c r="C2" s="27" t="s">
        <v>435</v>
      </c>
      <c r="D2" s="27" t="s">
        <v>436</v>
      </c>
      <c r="E2" s="27" t="s">
        <v>437</v>
      </c>
    </row>
    <row r="3" customFormat="false" ht="23.85" hidden="false" customHeight="false" outlineLevel="0" collapsed="false">
      <c r="A3" s="37" t="n">
        <v>1</v>
      </c>
      <c r="B3" s="39" t="s">
        <v>438</v>
      </c>
      <c r="C3" s="37" t="s">
        <v>439</v>
      </c>
      <c r="D3" s="37" t="s">
        <v>440</v>
      </c>
      <c r="E3" s="37" t="s">
        <v>441</v>
      </c>
    </row>
    <row r="4" customFormat="false" ht="23.85" hidden="false" customHeight="false" outlineLevel="0" collapsed="false">
      <c r="A4" s="37" t="n">
        <v>2</v>
      </c>
      <c r="B4" s="37" t="s">
        <v>442</v>
      </c>
      <c r="C4" s="37" t="s">
        <v>443</v>
      </c>
      <c r="D4" s="37" t="s">
        <v>444</v>
      </c>
      <c r="E4" s="37" t="s">
        <v>445</v>
      </c>
    </row>
    <row r="5" customFormat="false" ht="23.85" hidden="false" customHeight="false" outlineLevel="0" collapsed="false">
      <c r="A5" s="37" t="n">
        <v>3</v>
      </c>
      <c r="B5" s="37" t="s">
        <v>446</v>
      </c>
      <c r="C5" s="37" t="s">
        <v>447</v>
      </c>
      <c r="D5" s="37" t="s">
        <v>448</v>
      </c>
      <c r="E5" s="37" t="s">
        <v>449</v>
      </c>
    </row>
    <row r="6" customFormat="false" ht="23.85" hidden="false" customHeight="false" outlineLevel="0" collapsed="false">
      <c r="A6" s="37" t="n">
        <v>4</v>
      </c>
      <c r="B6" s="37" t="s">
        <v>450</v>
      </c>
      <c r="C6" s="37" t="s">
        <v>451</v>
      </c>
      <c r="D6" s="37" t="s">
        <v>452</v>
      </c>
      <c r="E6" s="37" t="s">
        <v>453</v>
      </c>
    </row>
    <row r="7" customFormat="false" ht="23.85" hidden="false" customHeight="false" outlineLevel="0" collapsed="false">
      <c r="A7" s="37" t="n">
        <v>5</v>
      </c>
      <c r="B7" s="37" t="s">
        <v>454</v>
      </c>
      <c r="C7" s="37" t="s">
        <v>455</v>
      </c>
      <c r="D7" s="37" t="s">
        <v>456</v>
      </c>
      <c r="E7" s="37" t="s">
        <v>457</v>
      </c>
    </row>
    <row r="8" customFormat="false" ht="35.05" hidden="false" customHeight="false" outlineLevel="0" collapsed="false">
      <c r="A8" s="37" t="n">
        <v>6</v>
      </c>
      <c r="B8" s="37" t="s">
        <v>458</v>
      </c>
      <c r="C8" s="37" t="s">
        <v>459</v>
      </c>
      <c r="D8" s="37" t="s">
        <v>460</v>
      </c>
      <c r="E8" s="37" t="s">
        <v>461</v>
      </c>
    </row>
    <row r="9" customFormat="false" ht="23.85" hidden="false" customHeight="false" outlineLevel="0" collapsed="false">
      <c r="A9" s="37" t="n">
        <v>7</v>
      </c>
      <c r="B9" s="37" t="s">
        <v>462</v>
      </c>
      <c r="C9" s="37" t="s">
        <v>463</v>
      </c>
      <c r="D9" s="37" t="s">
        <v>464</v>
      </c>
      <c r="E9" s="37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7" t="s">
        <v>466</v>
      </c>
    </row>
    <row r="2" customFormat="false" ht="15" hidden="false" customHeight="false" outlineLevel="0" collapsed="false">
      <c r="A2" s="27" t="s">
        <v>467</v>
      </c>
      <c r="B2" s="27" t="s">
        <v>468</v>
      </c>
      <c r="C2" s="27" t="s">
        <v>469</v>
      </c>
      <c r="D2" s="27" t="s">
        <v>470</v>
      </c>
      <c r="E2" s="27" t="s">
        <v>471</v>
      </c>
    </row>
    <row r="3" customFormat="false" ht="15" hidden="false" customHeight="false" outlineLevel="0" collapsed="false">
      <c r="A3" s="40" t="s">
        <v>472</v>
      </c>
      <c r="B3" s="41" t="n">
        <f aca="false">Summary!B27</f>
        <v>41600</v>
      </c>
      <c r="C3" s="37" t="s">
        <v>473</v>
      </c>
      <c r="D3" s="37" t="s">
        <v>474</v>
      </c>
      <c r="E3" s="37" t="s">
        <v>475</v>
      </c>
    </row>
    <row r="4" customFormat="false" ht="23.85" hidden="false" customHeight="false" outlineLevel="0" collapsed="false">
      <c r="A4" s="37" t="s">
        <v>476</v>
      </c>
      <c r="B4" s="42" t="n">
        <f aca="false">7500*4</f>
        <v>30000</v>
      </c>
      <c r="C4" s="37" t="s">
        <v>477</v>
      </c>
      <c r="D4" s="37" t="s">
        <v>478</v>
      </c>
      <c r="E4" s="37" t="s">
        <v>479</v>
      </c>
    </row>
    <row r="5" customFormat="false" ht="15" hidden="false" customHeight="false" outlineLevel="0" collapsed="false">
      <c r="A5" s="37" t="s">
        <v>480</v>
      </c>
      <c r="B5" s="42" t="n">
        <f aca="false">3*12*8*Summary!B24</f>
        <v>5760</v>
      </c>
      <c r="C5" s="37" t="s">
        <v>481</v>
      </c>
      <c r="D5" s="37" t="s">
        <v>482</v>
      </c>
      <c r="E5" s="37" t="s">
        <v>483</v>
      </c>
    </row>
    <row r="6" customFormat="false" ht="15" hidden="false" customHeight="false" outlineLevel="0" collapsed="false">
      <c r="A6" s="37" t="s">
        <v>484</v>
      </c>
      <c r="B6" s="42" t="n">
        <f aca="false">29.9*4*Summary!B24</f>
        <v>2392</v>
      </c>
      <c r="C6" s="37" t="s">
        <v>485</v>
      </c>
      <c r="D6" s="37" t="s">
        <v>486</v>
      </c>
      <c r="E6" s="37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2026-10-28T20:53:24Z</dcterms:created>
  <dc:creator>openpyxl</dc:creator>
  <dc:description/>
  <dc:language>en-US</dc:language>
  <cp:lastModifiedBy/>
  <dcterms:modified xsi:type="dcterms:W3CDTF">2026-10-28T20:53:24Z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